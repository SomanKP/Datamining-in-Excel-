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mbeddings/oleObject7.bin" ContentType="application/vnd.openxmlformats-officedocument.oleObject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5.bin" ContentType="application/vnd.openxmlformats-officedocument.oleObject"/>
  <Override PartName="/xl/embeddings/oleObject6.bin" ContentType="application/vnd.openxmlformats-officedocument.oleObject"/>
  <Default Extension="emf" ContentType="image/x-emf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Input" sheetId="5" r:id="rId1"/>
    <sheet name="Non Linear Calculation" sheetId="2" r:id="rId2"/>
    <sheet name="Non Linear Prediction" sheetId="9" r:id="rId3"/>
    <sheet name="Plotting" sheetId="16" r:id="rId4"/>
  </sheets>
  <calcPr calcId="124519"/>
</workbook>
</file>

<file path=xl/calcChain.xml><?xml version="1.0" encoding="utf-8"?>
<calcChain xmlns="http://schemas.openxmlformats.org/spreadsheetml/2006/main">
  <c r="I19" i="9"/>
  <c r="J19"/>
  <c r="K19"/>
  <c r="L19"/>
  <c r="M19"/>
  <c r="N19"/>
  <c r="O19"/>
  <c r="P19"/>
  <c r="Q19"/>
  <c r="R19"/>
  <c r="I20"/>
  <c r="J20"/>
  <c r="K20"/>
  <c r="L20"/>
  <c r="M20"/>
  <c r="N20"/>
  <c r="O20"/>
  <c r="P20"/>
  <c r="Q20"/>
  <c r="R20"/>
  <c r="I21"/>
  <c r="J21"/>
  <c r="K21"/>
  <c r="L21"/>
  <c r="M21"/>
  <c r="N21"/>
  <c r="O21"/>
  <c r="P21"/>
  <c r="Q21"/>
  <c r="R21"/>
  <c r="I22"/>
  <c r="J22"/>
  <c r="K22"/>
  <c r="L22"/>
  <c r="M22"/>
  <c r="N22"/>
  <c r="O22"/>
  <c r="P22"/>
  <c r="Q22"/>
  <c r="R22"/>
  <c r="I23"/>
  <c r="J23"/>
  <c r="K23"/>
  <c r="L23"/>
  <c r="M23"/>
  <c r="N23"/>
  <c r="O23"/>
  <c r="P23"/>
  <c r="Q23"/>
  <c r="R23"/>
  <c r="I24"/>
  <c r="J24"/>
  <c r="K24"/>
  <c r="L24"/>
  <c r="M24"/>
  <c r="N24"/>
  <c r="O24"/>
  <c r="P24"/>
  <c r="Q24"/>
  <c r="R24"/>
  <c r="I25"/>
  <c r="J25"/>
  <c r="K25"/>
  <c r="L25"/>
  <c r="M25"/>
  <c r="N25"/>
  <c r="O25"/>
  <c r="P25"/>
  <c r="Q25"/>
  <c r="R25"/>
  <c r="I26"/>
  <c r="J26"/>
  <c r="K26"/>
  <c r="L26"/>
  <c r="M26"/>
  <c r="N26"/>
  <c r="O26"/>
  <c r="P26"/>
  <c r="Q26"/>
  <c r="R26"/>
  <c r="I27"/>
  <c r="J27"/>
  <c r="K27"/>
  <c r="L27"/>
  <c r="M27"/>
  <c r="N27"/>
  <c r="O27"/>
  <c r="P27"/>
  <c r="Q27"/>
  <c r="R27"/>
  <c r="J18"/>
  <c r="K18"/>
  <c r="L18"/>
  <c r="M18"/>
  <c r="N18"/>
  <c r="O18"/>
  <c r="P18"/>
  <c r="Q18"/>
  <c r="R18"/>
  <c r="I18"/>
  <c r="A2" i="16"/>
  <c r="B2"/>
  <c r="C2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AM2"/>
  <c r="AN2"/>
  <c r="AO2"/>
  <c r="A3"/>
  <c r="B3"/>
  <c r="C3"/>
  <c r="D3"/>
  <c r="E3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AH3"/>
  <c r="AI3"/>
  <c r="AJ3"/>
  <c r="AK3"/>
  <c r="AL3"/>
  <c r="AM3"/>
  <c r="AN3"/>
  <c r="AO3"/>
  <c r="A4"/>
  <c r="B4"/>
  <c r="C4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5"/>
  <c r="B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6"/>
  <c r="B6"/>
  <c r="C6"/>
  <c r="D6"/>
  <c r="E6"/>
  <c r="F6"/>
  <c r="G6"/>
  <c r="H6"/>
  <c r="I6"/>
  <c r="J6"/>
  <c r="K6"/>
  <c r="L6"/>
  <c r="M6"/>
  <c r="N6"/>
  <c r="O6"/>
  <c r="P6"/>
  <c r="Q6"/>
  <c r="R6"/>
  <c r="S6"/>
  <c r="T6"/>
  <c r="U6"/>
  <c r="V6"/>
  <c r="W6"/>
  <c r="X6"/>
  <c r="Y6"/>
  <c r="Z6"/>
  <c r="AA6"/>
  <c r="AB6"/>
  <c r="AC6"/>
  <c r="AD6"/>
  <c r="AE6"/>
  <c r="AF6"/>
  <c r="AG6"/>
  <c r="AH6"/>
  <c r="AI6"/>
  <c r="AJ6"/>
  <c r="AK6"/>
  <c r="AL6"/>
  <c r="AM6"/>
  <c r="AN6"/>
  <c r="AO6"/>
  <c r="A7"/>
  <c r="B7"/>
  <c r="C7"/>
  <c r="D7"/>
  <c r="E7"/>
  <c r="F7"/>
  <c r="G7"/>
  <c r="H7"/>
  <c r="I7"/>
  <c r="J7"/>
  <c r="K7"/>
  <c r="L7"/>
  <c r="M7"/>
  <c r="N7"/>
  <c r="O7"/>
  <c r="P7"/>
  <c r="Q7"/>
  <c r="R7"/>
  <c r="S7"/>
  <c r="T7"/>
  <c r="U7"/>
  <c r="V7"/>
  <c r="W7"/>
  <c r="X7"/>
  <c r="Y7"/>
  <c r="Z7"/>
  <c r="AA7"/>
  <c r="AB7"/>
  <c r="AC7"/>
  <c r="AD7"/>
  <c r="AE7"/>
  <c r="AF7"/>
  <c r="AG7"/>
  <c r="AH7"/>
  <c r="AI7"/>
  <c r="AJ7"/>
  <c r="AK7"/>
  <c r="AL7"/>
  <c r="AM7"/>
  <c r="AN7"/>
  <c r="AO7"/>
  <c r="A8"/>
  <c r="B8"/>
  <c r="C8"/>
  <c r="D8"/>
  <c r="E8"/>
  <c r="F8"/>
  <c r="G8"/>
  <c r="H8"/>
  <c r="I8"/>
  <c r="J8"/>
  <c r="K8"/>
  <c r="L8"/>
  <c r="M8"/>
  <c r="N8"/>
  <c r="O8"/>
  <c r="P8"/>
  <c r="Q8"/>
  <c r="R8"/>
  <c r="S8"/>
  <c r="T8"/>
  <c r="U8"/>
  <c r="V8"/>
  <c r="W8"/>
  <c r="X8"/>
  <c r="Y8"/>
  <c r="Z8"/>
  <c r="AA8"/>
  <c r="AB8"/>
  <c r="AC8"/>
  <c r="AD8"/>
  <c r="AE8"/>
  <c r="AF8"/>
  <c r="AG8"/>
  <c r="AH8"/>
  <c r="AI8"/>
  <c r="AJ8"/>
  <c r="AK8"/>
  <c r="AL8"/>
  <c r="AM8"/>
  <c r="AN8"/>
  <c r="AO8"/>
  <c r="A9"/>
  <c r="B9"/>
  <c r="C9"/>
  <c r="D9"/>
  <c r="E9"/>
  <c r="F9"/>
  <c r="G9"/>
  <c r="H9"/>
  <c r="I9"/>
  <c r="J9"/>
  <c r="K9"/>
  <c r="L9"/>
  <c r="M9"/>
  <c r="N9"/>
  <c r="O9"/>
  <c r="P9"/>
  <c r="Q9"/>
  <c r="R9"/>
  <c r="S9"/>
  <c r="T9"/>
  <c r="U9"/>
  <c r="V9"/>
  <c r="W9"/>
  <c r="X9"/>
  <c r="Y9"/>
  <c r="Z9"/>
  <c r="AA9"/>
  <c r="AB9"/>
  <c r="AC9"/>
  <c r="AD9"/>
  <c r="AE9"/>
  <c r="AF9"/>
  <c r="AG9"/>
  <c r="AH9"/>
  <c r="AI9"/>
  <c r="AJ9"/>
  <c r="AK9"/>
  <c r="AL9"/>
  <c r="AM9"/>
  <c r="AN9"/>
  <c r="AO9"/>
  <c r="A10"/>
  <c r="B10"/>
  <c r="C10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W10"/>
  <c r="X10"/>
  <c r="Y10"/>
  <c r="Z10"/>
  <c r="AA10"/>
  <c r="AB10"/>
  <c r="AC10"/>
  <c r="AD10"/>
  <c r="AE10"/>
  <c r="AF10"/>
  <c r="AG10"/>
  <c r="AH10"/>
  <c r="AI10"/>
  <c r="AJ10"/>
  <c r="AK10"/>
  <c r="AL10"/>
  <c r="AM10"/>
  <c r="AN10"/>
  <c r="AO10"/>
  <c r="A11"/>
  <c r="B11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W11"/>
  <c r="X11"/>
  <c r="Y11"/>
  <c r="Z11"/>
  <c r="AA11"/>
  <c r="AB11"/>
  <c r="AC11"/>
  <c r="AD11"/>
  <c r="AE11"/>
  <c r="AF11"/>
  <c r="AG11"/>
  <c r="AH11"/>
  <c r="AI11"/>
  <c r="AJ11"/>
  <c r="AK11"/>
  <c r="AL11"/>
  <c r="AM11"/>
  <c r="AN11"/>
  <c r="AO11"/>
  <c r="A12"/>
  <c r="B12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W12"/>
  <c r="X12"/>
  <c r="Y12"/>
  <c r="Z12"/>
  <c r="AA12"/>
  <c r="AB12"/>
  <c r="AC12"/>
  <c r="AD12"/>
  <c r="AE12"/>
  <c r="AF12"/>
  <c r="AG12"/>
  <c r="AH12"/>
  <c r="AI12"/>
  <c r="AJ12"/>
  <c r="AK12"/>
  <c r="AL12"/>
  <c r="AM12"/>
  <c r="AN12"/>
  <c r="AO12"/>
  <c r="A13"/>
  <c r="B13"/>
  <c r="C13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W13"/>
  <c r="X13"/>
  <c r="Y13"/>
  <c r="Z13"/>
  <c r="AA13"/>
  <c r="AB13"/>
  <c r="AC13"/>
  <c r="AD13"/>
  <c r="AE13"/>
  <c r="AF13"/>
  <c r="AG13"/>
  <c r="AH13"/>
  <c r="AI13"/>
  <c r="AJ13"/>
  <c r="AK13"/>
  <c r="AL13"/>
  <c r="AM13"/>
  <c r="AN13"/>
  <c r="AO13"/>
  <c r="A14"/>
  <c r="B14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W14"/>
  <c r="X14"/>
  <c r="Y14"/>
  <c r="Z14"/>
  <c r="AA14"/>
  <c r="AB14"/>
  <c r="AC14"/>
  <c r="AD14"/>
  <c r="AE14"/>
  <c r="AF14"/>
  <c r="AG14"/>
  <c r="AH14"/>
  <c r="AI14"/>
  <c r="AJ14"/>
  <c r="AK14"/>
  <c r="AL14"/>
  <c r="AM14"/>
  <c r="AN14"/>
  <c r="AO14"/>
  <c r="A15"/>
  <c r="B15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W15"/>
  <c r="X15"/>
  <c r="Y15"/>
  <c r="Z15"/>
  <c r="AA15"/>
  <c r="AB15"/>
  <c r="AC15"/>
  <c r="AD15"/>
  <c r="AE15"/>
  <c r="AF15"/>
  <c r="AG15"/>
  <c r="AH15"/>
  <c r="AI15"/>
  <c r="AJ15"/>
  <c r="AK15"/>
  <c r="AL15"/>
  <c r="AM15"/>
  <c r="AN15"/>
  <c r="AO15"/>
  <c r="A16"/>
  <c r="B16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W16"/>
  <c r="X16"/>
  <c r="Y16"/>
  <c r="Z16"/>
  <c r="AA16"/>
  <c r="AB16"/>
  <c r="AC16"/>
  <c r="AD16"/>
  <c r="AE16"/>
  <c r="AF16"/>
  <c r="AG16"/>
  <c r="AH16"/>
  <c r="AI16"/>
  <c r="AJ16"/>
  <c r="AK16"/>
  <c r="AL16"/>
  <c r="AM16"/>
  <c r="AN16"/>
  <c r="AO16"/>
  <c r="A17"/>
  <c r="B17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X17"/>
  <c r="Y17"/>
  <c r="Z17"/>
  <c r="AA17"/>
  <c r="AB17"/>
  <c r="AC17"/>
  <c r="AD17"/>
  <c r="AE17"/>
  <c r="AF17"/>
  <c r="AG17"/>
  <c r="AH17"/>
  <c r="AI17"/>
  <c r="AJ17"/>
  <c r="AK17"/>
  <c r="AL17"/>
  <c r="AM17"/>
  <c r="AN17"/>
  <c r="AO17"/>
  <c r="A18"/>
  <c r="B18"/>
  <c r="C18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W18"/>
  <c r="X18"/>
  <c r="Y18"/>
  <c r="Z18"/>
  <c r="AA18"/>
  <c r="AB18"/>
  <c r="AC18"/>
  <c r="AD18"/>
  <c r="AE18"/>
  <c r="AF18"/>
  <c r="AG18"/>
  <c r="AH18"/>
  <c r="AI18"/>
  <c r="AJ18"/>
  <c r="AK18"/>
  <c r="AL18"/>
  <c r="AM18"/>
  <c r="AN18"/>
  <c r="AO18"/>
  <c r="A19"/>
  <c r="B19"/>
  <c r="C19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W19"/>
  <c r="X19"/>
  <c r="Y19"/>
  <c r="Z19"/>
  <c r="AA19"/>
  <c r="AB19"/>
  <c r="AC19"/>
  <c r="AD19"/>
  <c r="AE19"/>
  <c r="AF19"/>
  <c r="AG19"/>
  <c r="AH19"/>
  <c r="AI19"/>
  <c r="AJ19"/>
  <c r="AK19"/>
  <c r="AL19"/>
  <c r="AM19"/>
  <c r="AN19"/>
  <c r="AO19"/>
  <c r="A20"/>
  <c r="B20"/>
  <c r="C20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W20"/>
  <c r="X20"/>
  <c r="Y20"/>
  <c r="Z20"/>
  <c r="AA20"/>
  <c r="AB20"/>
  <c r="AC20"/>
  <c r="AD20"/>
  <c r="AE20"/>
  <c r="AF20"/>
  <c r="AG20"/>
  <c r="AH20"/>
  <c r="AI20"/>
  <c r="AJ20"/>
  <c r="AK20"/>
  <c r="AL20"/>
  <c r="AM20"/>
  <c r="AN20"/>
  <c r="AO20"/>
  <c r="A21"/>
  <c r="B21"/>
  <c r="C21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W21"/>
  <c r="X21"/>
  <c r="Y21"/>
  <c r="Z21"/>
  <c r="AA21"/>
  <c r="AB21"/>
  <c r="AC21"/>
  <c r="AD21"/>
  <c r="AE21"/>
  <c r="AF21"/>
  <c r="AG21"/>
  <c r="AH21"/>
  <c r="AI21"/>
  <c r="AJ21"/>
  <c r="AK21"/>
  <c r="AL21"/>
  <c r="AM21"/>
  <c r="AN21"/>
  <c r="AO21"/>
  <c r="A22"/>
  <c r="B22"/>
  <c r="C22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W22"/>
  <c r="X22"/>
  <c r="Y22"/>
  <c r="Z22"/>
  <c r="AA22"/>
  <c r="AB22"/>
  <c r="AC22"/>
  <c r="AD22"/>
  <c r="AE22"/>
  <c r="AF22"/>
  <c r="AG22"/>
  <c r="AH22"/>
  <c r="AI22"/>
  <c r="AJ22"/>
  <c r="AK22"/>
  <c r="AL22"/>
  <c r="AM22"/>
  <c r="AN22"/>
  <c r="AO22"/>
  <c r="A23"/>
  <c r="B23"/>
  <c r="C23"/>
  <c r="D23"/>
  <c r="E23"/>
  <c r="F23"/>
  <c r="G23"/>
  <c r="H23"/>
  <c r="I23"/>
  <c r="J23"/>
  <c r="K23"/>
  <c r="L23"/>
  <c r="M23"/>
  <c r="N23"/>
  <c r="O23"/>
  <c r="P23"/>
  <c r="Q23"/>
  <c r="R23"/>
  <c r="S23"/>
  <c r="T23"/>
  <c r="U23"/>
  <c r="V23"/>
  <c r="W23"/>
  <c r="X23"/>
  <c r="Y23"/>
  <c r="Z23"/>
  <c r="AA23"/>
  <c r="AB23"/>
  <c r="AC23"/>
  <c r="AD23"/>
  <c r="AE23"/>
  <c r="AF23"/>
  <c r="AG23"/>
  <c r="AH23"/>
  <c r="AI23"/>
  <c r="AJ23"/>
  <c r="AK23"/>
  <c r="AL23"/>
  <c r="AM23"/>
  <c r="AN23"/>
  <c r="AO23"/>
  <c r="A24"/>
  <c r="B24"/>
  <c r="C24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W24"/>
  <c r="X24"/>
  <c r="Y24"/>
  <c r="Z24"/>
  <c r="AA24"/>
  <c r="AB24"/>
  <c r="AC24"/>
  <c r="AD24"/>
  <c r="AE24"/>
  <c r="AF24"/>
  <c r="AG24"/>
  <c r="AH24"/>
  <c r="AI24"/>
  <c r="AJ24"/>
  <c r="AK24"/>
  <c r="AL24"/>
  <c r="AM24"/>
  <c r="AN24"/>
  <c r="AO24"/>
  <c r="A25"/>
  <c r="B25"/>
  <c r="C25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W25"/>
  <c r="X25"/>
  <c r="Y25"/>
  <c r="Z25"/>
  <c r="AA25"/>
  <c r="AB25"/>
  <c r="AC25"/>
  <c r="AD25"/>
  <c r="AE25"/>
  <c r="AF25"/>
  <c r="AG25"/>
  <c r="AH25"/>
  <c r="AI25"/>
  <c r="AJ25"/>
  <c r="AK25"/>
  <c r="AL25"/>
  <c r="AM25"/>
  <c r="AN25"/>
  <c r="AO25"/>
  <c r="A26"/>
  <c r="B26"/>
  <c r="C26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W26"/>
  <c r="X26"/>
  <c r="Y26"/>
  <c r="Z26"/>
  <c r="AA26"/>
  <c r="AB26"/>
  <c r="AC26"/>
  <c r="AD26"/>
  <c r="AE26"/>
  <c r="AF26"/>
  <c r="AG26"/>
  <c r="AH26"/>
  <c r="AI26"/>
  <c r="AJ26"/>
  <c r="AK26"/>
  <c r="AL26"/>
  <c r="AM26"/>
  <c r="AN26"/>
  <c r="AO26"/>
  <c r="A27"/>
  <c r="B27"/>
  <c r="C27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W27"/>
  <c r="X27"/>
  <c r="Y27"/>
  <c r="Z27"/>
  <c r="AA27"/>
  <c r="AB27"/>
  <c r="AC27"/>
  <c r="AD27"/>
  <c r="AE27"/>
  <c r="AF27"/>
  <c r="AG27"/>
  <c r="AH27"/>
  <c r="AI27"/>
  <c r="AJ27"/>
  <c r="AK27"/>
  <c r="AL27"/>
  <c r="AM27"/>
  <c r="AN27"/>
  <c r="AO27"/>
  <c r="A28"/>
  <c r="B28"/>
  <c r="C28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W28"/>
  <c r="X28"/>
  <c r="Y28"/>
  <c r="Z28"/>
  <c r="AA28"/>
  <c r="AB28"/>
  <c r="AC28"/>
  <c r="AD28"/>
  <c r="AE28"/>
  <c r="AF28"/>
  <c r="AG28"/>
  <c r="AH28"/>
  <c r="AI28"/>
  <c r="AJ28"/>
  <c r="AK28"/>
  <c r="AL28"/>
  <c r="AM28"/>
  <c r="AN28"/>
  <c r="AO28"/>
  <c r="A29"/>
  <c r="B29"/>
  <c r="C29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W29"/>
  <c r="X29"/>
  <c r="Y29"/>
  <c r="Z29"/>
  <c r="AA29"/>
  <c r="AB29"/>
  <c r="AC29"/>
  <c r="AD29"/>
  <c r="AE29"/>
  <c r="AF29"/>
  <c r="AG29"/>
  <c r="AH29"/>
  <c r="AI29"/>
  <c r="AJ29"/>
  <c r="AK29"/>
  <c r="AL29"/>
  <c r="AM29"/>
  <c r="AN29"/>
  <c r="AO29"/>
  <c r="A30"/>
  <c r="B30"/>
  <c r="C30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W30"/>
  <c r="X30"/>
  <c r="Y30"/>
  <c r="Z30"/>
  <c r="AA30"/>
  <c r="AB30"/>
  <c r="AC30"/>
  <c r="AD30"/>
  <c r="AE30"/>
  <c r="AF30"/>
  <c r="AG30"/>
  <c r="AH30"/>
  <c r="AI30"/>
  <c r="AJ30"/>
  <c r="AK30"/>
  <c r="AL30"/>
  <c r="AM30"/>
  <c r="AN30"/>
  <c r="AO30"/>
  <c r="A31"/>
  <c r="B31"/>
  <c r="C31"/>
  <c r="D31"/>
  <c r="E31"/>
  <c r="F31"/>
  <c r="G31"/>
  <c r="H31"/>
  <c r="I31"/>
  <c r="J31"/>
  <c r="K31"/>
  <c r="L31"/>
  <c r="M31"/>
  <c r="N31"/>
  <c r="O31"/>
  <c r="P31"/>
  <c r="Q31"/>
  <c r="R31"/>
  <c r="S31"/>
  <c r="T31"/>
  <c r="U31"/>
  <c r="V31"/>
  <c r="W31"/>
  <c r="X31"/>
  <c r="Y31"/>
  <c r="Z31"/>
  <c r="AA31"/>
  <c r="AB31"/>
  <c r="AC31"/>
  <c r="AD31"/>
  <c r="AE31"/>
  <c r="AF31"/>
  <c r="AG31"/>
  <c r="AH31"/>
  <c r="AI31"/>
  <c r="AJ31"/>
  <c r="AK31"/>
  <c r="AL31"/>
  <c r="AM31"/>
  <c r="AN31"/>
  <c r="AO31"/>
  <c r="A32"/>
  <c r="B32"/>
  <c r="C32"/>
  <c r="D32"/>
  <c r="E32"/>
  <c r="F32"/>
  <c r="G32"/>
  <c r="H32"/>
  <c r="I32"/>
  <c r="J32"/>
  <c r="K32"/>
  <c r="L32"/>
  <c r="M32"/>
  <c r="N32"/>
  <c r="O32"/>
  <c r="P32"/>
  <c r="Q32"/>
  <c r="R32"/>
  <c r="S32"/>
  <c r="T32"/>
  <c r="U32"/>
  <c r="V32"/>
  <c r="W32"/>
  <c r="X32"/>
  <c r="Y32"/>
  <c r="Z32"/>
  <c r="AA32"/>
  <c r="AB32"/>
  <c r="AC32"/>
  <c r="AD32"/>
  <c r="AE32"/>
  <c r="AF32"/>
  <c r="AG32"/>
  <c r="AH32"/>
  <c r="AI32"/>
  <c r="AJ32"/>
  <c r="AK32"/>
  <c r="AL32"/>
  <c r="AM32"/>
  <c r="AN32"/>
  <c r="AO32"/>
  <c r="A33"/>
  <c r="B33"/>
  <c r="C33"/>
  <c r="D33"/>
  <c r="E33"/>
  <c r="F33"/>
  <c r="G33"/>
  <c r="H33"/>
  <c r="I33"/>
  <c r="J33"/>
  <c r="K33"/>
  <c r="L33"/>
  <c r="M33"/>
  <c r="N33"/>
  <c r="O33"/>
  <c r="P33"/>
  <c r="Q33"/>
  <c r="R33"/>
  <c r="S33"/>
  <c r="T33"/>
  <c r="U33"/>
  <c r="V33"/>
  <c r="W33"/>
  <c r="X33"/>
  <c r="Y33"/>
  <c r="Z33"/>
  <c r="AA33"/>
  <c r="AB33"/>
  <c r="AC33"/>
  <c r="AD33"/>
  <c r="AE33"/>
  <c r="AF33"/>
  <c r="AG33"/>
  <c r="AH33"/>
  <c r="AI33"/>
  <c r="AJ33"/>
  <c r="AK33"/>
  <c r="AL33"/>
  <c r="AM33"/>
  <c r="AN33"/>
  <c r="AO33"/>
  <c r="A34"/>
  <c r="B34"/>
  <c r="C34"/>
  <c r="D34"/>
  <c r="E34"/>
  <c r="F34"/>
  <c r="G34"/>
  <c r="H34"/>
  <c r="I34"/>
  <c r="J34"/>
  <c r="K34"/>
  <c r="L34"/>
  <c r="M34"/>
  <c r="N34"/>
  <c r="O34"/>
  <c r="P34"/>
  <c r="Q34"/>
  <c r="R34"/>
  <c r="S34"/>
  <c r="T34"/>
  <c r="U34"/>
  <c r="V34"/>
  <c r="W34"/>
  <c r="X34"/>
  <c r="Y34"/>
  <c r="Z34"/>
  <c r="AA34"/>
  <c r="AB34"/>
  <c r="AC34"/>
  <c r="AD34"/>
  <c r="AE34"/>
  <c r="AF34"/>
  <c r="AG34"/>
  <c r="AH34"/>
  <c r="AI34"/>
  <c r="AJ34"/>
  <c r="AK34"/>
  <c r="AL34"/>
  <c r="AM34"/>
  <c r="AN34"/>
  <c r="AO34"/>
  <c r="A35"/>
  <c r="B35"/>
  <c r="C35"/>
  <c r="D35"/>
  <c r="E35"/>
  <c r="F35"/>
  <c r="G35"/>
  <c r="H35"/>
  <c r="I35"/>
  <c r="J35"/>
  <c r="K35"/>
  <c r="L35"/>
  <c r="M35"/>
  <c r="N35"/>
  <c r="O35"/>
  <c r="P35"/>
  <c r="Q35"/>
  <c r="R35"/>
  <c r="S35"/>
  <c r="T35"/>
  <c r="U35"/>
  <c r="V35"/>
  <c r="W35"/>
  <c r="X35"/>
  <c r="Y35"/>
  <c r="Z35"/>
  <c r="AA35"/>
  <c r="AB35"/>
  <c r="AC35"/>
  <c r="AD35"/>
  <c r="AE35"/>
  <c r="AF35"/>
  <c r="AG35"/>
  <c r="AH35"/>
  <c r="AI35"/>
  <c r="AJ35"/>
  <c r="AK35"/>
  <c r="AL35"/>
  <c r="AM35"/>
  <c r="AN35"/>
  <c r="AO35"/>
  <c r="A36"/>
  <c r="B36"/>
  <c r="C36"/>
  <c r="D36"/>
  <c r="E36"/>
  <c r="F36"/>
  <c r="G36"/>
  <c r="H36"/>
  <c r="I36"/>
  <c r="J36"/>
  <c r="K36"/>
  <c r="L36"/>
  <c r="M36"/>
  <c r="N36"/>
  <c r="O36"/>
  <c r="P36"/>
  <c r="Q36"/>
  <c r="R36"/>
  <c r="S36"/>
  <c r="T36"/>
  <c r="U36"/>
  <c r="V36"/>
  <c r="W36"/>
  <c r="X36"/>
  <c r="Y36"/>
  <c r="Z36"/>
  <c r="AA36"/>
  <c r="AB36"/>
  <c r="AC36"/>
  <c r="AD36"/>
  <c r="AE36"/>
  <c r="AF36"/>
  <c r="AG36"/>
  <c r="AH36"/>
  <c r="AI36"/>
  <c r="AJ36"/>
  <c r="AK36"/>
  <c r="AL36"/>
  <c r="AM36"/>
  <c r="AN36"/>
  <c r="AO36"/>
  <c r="A37"/>
  <c r="B37"/>
  <c r="C37"/>
  <c r="D37"/>
  <c r="E37"/>
  <c r="F37"/>
  <c r="G37"/>
  <c r="H37"/>
  <c r="I37"/>
  <c r="J37"/>
  <c r="K37"/>
  <c r="L37"/>
  <c r="M37"/>
  <c r="N37"/>
  <c r="O37"/>
  <c r="P37"/>
  <c r="Q37"/>
  <c r="R37"/>
  <c r="S37"/>
  <c r="T37"/>
  <c r="U37"/>
  <c r="V37"/>
  <c r="W37"/>
  <c r="X37"/>
  <c r="Y37"/>
  <c r="Z37"/>
  <c r="AA37"/>
  <c r="AB37"/>
  <c r="AC37"/>
  <c r="AD37"/>
  <c r="AE37"/>
  <c r="AF37"/>
  <c r="AG37"/>
  <c r="AH37"/>
  <c r="AI37"/>
  <c r="AJ37"/>
  <c r="AK37"/>
  <c r="AL37"/>
  <c r="AM37"/>
  <c r="AN37"/>
  <c r="AO37"/>
  <c r="A38"/>
  <c r="B38"/>
  <c r="C38"/>
  <c r="D38"/>
  <c r="E38"/>
  <c r="F38"/>
  <c r="G38"/>
  <c r="H38"/>
  <c r="I38"/>
  <c r="J38"/>
  <c r="K38"/>
  <c r="L38"/>
  <c r="M38"/>
  <c r="N38"/>
  <c r="O38"/>
  <c r="P38"/>
  <c r="Q38"/>
  <c r="R38"/>
  <c r="S38"/>
  <c r="T38"/>
  <c r="U38"/>
  <c r="V38"/>
  <c r="W38"/>
  <c r="X38"/>
  <c r="Y38"/>
  <c r="Z38"/>
  <c r="AA38"/>
  <c r="AB38"/>
  <c r="AC38"/>
  <c r="AD38"/>
  <c r="AE38"/>
  <c r="AF38"/>
  <c r="AG38"/>
  <c r="AH38"/>
  <c r="AI38"/>
  <c r="AJ38"/>
  <c r="AK38"/>
  <c r="AL38"/>
  <c r="AM38"/>
  <c r="AN38"/>
  <c r="AO38"/>
  <c r="A39"/>
  <c r="B39"/>
  <c r="C39"/>
  <c r="D39"/>
  <c r="E39"/>
  <c r="F39"/>
  <c r="G39"/>
  <c r="H39"/>
  <c r="I39"/>
  <c r="J39"/>
  <c r="K39"/>
  <c r="L39"/>
  <c r="M39"/>
  <c r="N39"/>
  <c r="O39"/>
  <c r="P39"/>
  <c r="Q39"/>
  <c r="R39"/>
  <c r="S39"/>
  <c r="T39"/>
  <c r="U39"/>
  <c r="V39"/>
  <c r="W39"/>
  <c r="X39"/>
  <c r="Y39"/>
  <c r="Z39"/>
  <c r="AA39"/>
  <c r="AB39"/>
  <c r="AC39"/>
  <c r="AD39"/>
  <c r="AE39"/>
  <c r="AF39"/>
  <c r="AG39"/>
  <c r="AH39"/>
  <c r="AI39"/>
  <c r="AJ39"/>
  <c r="AK39"/>
  <c r="AL39"/>
  <c r="AM39"/>
  <c r="AN39"/>
  <c r="AO39"/>
  <c r="A40"/>
  <c r="B40"/>
  <c r="C40"/>
  <c r="D40"/>
  <c r="E40"/>
  <c r="F40"/>
  <c r="G40"/>
  <c r="H40"/>
  <c r="I40"/>
  <c r="J40"/>
  <c r="K40"/>
  <c r="L40"/>
  <c r="M40"/>
  <c r="N40"/>
  <c r="O40"/>
  <c r="P40"/>
  <c r="Q40"/>
  <c r="R40"/>
  <c r="S40"/>
  <c r="T40"/>
  <c r="U40"/>
  <c r="V40"/>
  <c r="W40"/>
  <c r="X40"/>
  <c r="Y40"/>
  <c r="Z40"/>
  <c r="AA40"/>
  <c r="AB40"/>
  <c r="AC40"/>
  <c r="AD40"/>
  <c r="AE40"/>
  <c r="AF40"/>
  <c r="AG40"/>
  <c r="AH40"/>
  <c r="AI40"/>
  <c r="AJ40"/>
  <c r="AK40"/>
  <c r="AL40"/>
  <c r="AM40"/>
  <c r="AN40"/>
  <c r="AO40"/>
  <c r="A41"/>
  <c r="B41"/>
  <c r="C41"/>
  <c r="D41"/>
  <c r="E41"/>
  <c r="F41"/>
  <c r="G41"/>
  <c r="H41"/>
  <c r="I41"/>
  <c r="J41"/>
  <c r="K41"/>
  <c r="L41"/>
  <c r="M41"/>
  <c r="N41"/>
  <c r="O41"/>
  <c r="P41"/>
  <c r="Q41"/>
  <c r="R41"/>
  <c r="S41"/>
  <c r="T41"/>
  <c r="U41"/>
  <c r="V41"/>
  <c r="W41"/>
  <c r="X41"/>
  <c r="Y41"/>
  <c r="Z41"/>
  <c r="AA41"/>
  <c r="AB41"/>
  <c r="AC41"/>
  <c r="AD41"/>
  <c r="AE41"/>
  <c r="AF41"/>
  <c r="AG41"/>
  <c r="AH41"/>
  <c r="AI41"/>
  <c r="AJ41"/>
  <c r="AK41"/>
  <c r="AL41"/>
  <c r="AM41"/>
  <c r="AN41"/>
  <c r="AO41"/>
  <c r="B1"/>
  <c r="C1"/>
  <c r="D1"/>
  <c r="E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AM1"/>
  <c r="AN1"/>
  <c r="AO1"/>
  <c r="A1"/>
  <c r="C19" i="9" l="1"/>
  <c r="D19"/>
  <c r="C20"/>
  <c r="D20"/>
  <c r="C21"/>
  <c r="D21"/>
  <c r="C22"/>
  <c r="D22"/>
  <c r="C23"/>
  <c r="D23"/>
  <c r="C24"/>
  <c r="D24"/>
  <c r="C25"/>
  <c r="D25"/>
  <c r="C26"/>
  <c r="D26"/>
  <c r="C27"/>
  <c r="D27"/>
  <c r="D18"/>
  <c r="B19"/>
  <c r="B20"/>
  <c r="D44" s="1" a="1"/>
  <c r="D44" s="1"/>
  <c r="B21"/>
  <c r="B22"/>
  <c r="D46" s="1" a="1"/>
  <c r="D46" s="1"/>
  <c r="B23"/>
  <c r="B24"/>
  <c r="D48" s="1" a="1"/>
  <c r="D48" s="1"/>
  <c r="B25"/>
  <c r="B26"/>
  <c r="D50" s="1" a="1"/>
  <c r="D50" s="1"/>
  <c r="B27"/>
  <c r="C18"/>
  <c r="B18"/>
  <c r="D51" l="1" a="1"/>
  <c r="D51" s="1"/>
  <c r="D49" a="1"/>
  <c r="D49" s="1"/>
  <c r="D47" a="1"/>
  <c r="D47" s="1"/>
  <c r="D45" a="1"/>
  <c r="D45" s="1"/>
  <c r="D43" a="1"/>
  <c r="D43" s="1"/>
  <c r="D42" a="1"/>
  <c r="D42" s="1"/>
  <c r="B125" i="2" l="1" a="1"/>
  <c r="B125" s="1"/>
  <c r="K134" l="1"/>
  <c r="I134"/>
  <c r="G134"/>
  <c r="E134"/>
  <c r="C134"/>
  <c r="K133"/>
  <c r="I133"/>
  <c r="G133"/>
  <c r="E133"/>
  <c r="C133"/>
  <c r="K132"/>
  <c r="I132"/>
  <c r="G132"/>
  <c r="E132"/>
  <c r="C132"/>
  <c r="K131"/>
  <c r="I131"/>
  <c r="G131"/>
  <c r="E131"/>
  <c r="C131"/>
  <c r="K130"/>
  <c r="I130"/>
  <c r="G130"/>
  <c r="E130"/>
  <c r="C130"/>
  <c r="K129"/>
  <c r="I129"/>
  <c r="G129"/>
  <c r="E129"/>
  <c r="C129"/>
  <c r="K128"/>
  <c r="I128"/>
  <c r="G128"/>
  <c r="E128"/>
  <c r="C128"/>
  <c r="K127"/>
  <c r="I127"/>
  <c r="G127"/>
  <c r="E127"/>
  <c r="C127"/>
  <c r="K126"/>
  <c r="I126"/>
  <c r="G126"/>
  <c r="E126"/>
  <c r="C126"/>
  <c r="K125"/>
  <c r="I125"/>
  <c r="G125"/>
  <c r="E125"/>
  <c r="C125"/>
  <c r="J134"/>
  <c r="H134"/>
  <c r="F134"/>
  <c r="D134"/>
  <c r="B134"/>
  <c r="J133"/>
  <c r="H133"/>
  <c r="F133"/>
  <c r="D133"/>
  <c r="B133"/>
  <c r="J132"/>
  <c r="H132"/>
  <c r="F132"/>
  <c r="D132"/>
  <c r="B132"/>
  <c r="J131"/>
  <c r="H131"/>
  <c r="F131"/>
  <c r="D131"/>
  <c r="B131"/>
  <c r="J130"/>
  <c r="H130"/>
  <c r="F130"/>
  <c r="D130"/>
  <c r="B130"/>
  <c r="J129"/>
  <c r="H129"/>
  <c r="F129"/>
  <c r="D129"/>
  <c r="B129"/>
  <c r="J128"/>
  <c r="H128"/>
  <c r="F128"/>
  <c r="D128"/>
  <c r="B128"/>
  <c r="J127"/>
  <c r="H127"/>
  <c r="F127"/>
  <c r="D127"/>
  <c r="B127"/>
  <c r="J126"/>
  <c r="H126"/>
  <c r="F126"/>
  <c r="D126"/>
  <c r="B126"/>
  <c r="J125"/>
  <c r="H125"/>
  <c r="F125"/>
  <c r="D125"/>
  <c r="D102" l="1"/>
  <c r="C105" s="1"/>
  <c r="A37"/>
  <c r="B37"/>
  <c r="C37"/>
  <c r="D37"/>
  <c r="E37"/>
  <c r="F37"/>
  <c r="G37"/>
  <c r="H37"/>
  <c r="I37"/>
  <c r="J37"/>
  <c r="A38"/>
  <c r="B38"/>
  <c r="C38"/>
  <c r="D38"/>
  <c r="E38"/>
  <c r="F38"/>
  <c r="G38"/>
  <c r="H38"/>
  <c r="I38"/>
  <c r="J38"/>
  <c r="A39"/>
  <c r="B39"/>
  <c r="C39"/>
  <c r="D39"/>
  <c r="E39"/>
  <c r="F39"/>
  <c r="G39"/>
  <c r="H39"/>
  <c r="I39"/>
  <c r="J39"/>
  <c r="A40"/>
  <c r="B40"/>
  <c r="C40"/>
  <c r="D40"/>
  <c r="E40"/>
  <c r="F40"/>
  <c r="G40"/>
  <c r="H40"/>
  <c r="I40"/>
  <c r="J40"/>
  <c r="A41"/>
  <c r="B41"/>
  <c r="C41"/>
  <c r="D41"/>
  <c r="E41"/>
  <c r="F41"/>
  <c r="G41"/>
  <c r="H41"/>
  <c r="I41"/>
  <c r="J41"/>
  <c r="A42"/>
  <c r="B42"/>
  <c r="C42"/>
  <c r="D42"/>
  <c r="E42"/>
  <c r="F42"/>
  <c r="G42"/>
  <c r="H42"/>
  <c r="I42"/>
  <c r="J42"/>
  <c r="A43"/>
  <c r="B43"/>
  <c r="C43"/>
  <c r="D43"/>
  <c r="E43"/>
  <c r="F43"/>
  <c r="G43"/>
  <c r="H43"/>
  <c r="I43"/>
  <c r="J43"/>
  <c r="A44"/>
  <c r="B44"/>
  <c r="C44"/>
  <c r="D44"/>
  <c r="E44"/>
  <c r="F44"/>
  <c r="G44"/>
  <c r="H44"/>
  <c r="I44"/>
  <c r="J44"/>
  <c r="A36"/>
  <c r="B36"/>
  <c r="C36"/>
  <c r="D36"/>
  <c r="E36"/>
  <c r="F36"/>
  <c r="G36"/>
  <c r="H36"/>
  <c r="I36"/>
  <c r="J36"/>
  <c r="J35"/>
  <c r="H35"/>
  <c r="I35"/>
  <c r="B35"/>
  <c r="C35"/>
  <c r="D35"/>
  <c r="E35"/>
  <c r="F35"/>
  <c r="G35"/>
  <c r="A35"/>
  <c r="G50"/>
  <c r="A53" s="1"/>
  <c r="F8" i="5"/>
  <c r="I8"/>
  <c r="F9"/>
  <c r="I9"/>
  <c r="F10"/>
  <c r="I10"/>
  <c r="F11"/>
  <c r="I11"/>
  <c r="F12"/>
  <c r="I12"/>
  <c r="F13"/>
  <c r="I13"/>
  <c r="F14"/>
  <c r="I14"/>
  <c r="F15"/>
  <c r="I15"/>
  <c r="F16"/>
  <c r="I16"/>
  <c r="I7"/>
  <c r="F7"/>
  <c r="B18"/>
  <c r="C18"/>
  <c r="B17"/>
  <c r="G8" s="1"/>
  <c r="C17"/>
  <c r="H7" s="1"/>
  <c r="H11" i="2" l="1"/>
  <c r="A70" a="1"/>
  <c r="B70" s="1"/>
  <c r="H15" i="5"/>
  <c r="H13"/>
  <c r="H11"/>
  <c r="H9"/>
  <c r="H16"/>
  <c r="H14"/>
  <c r="H12"/>
  <c r="H10"/>
  <c r="H8"/>
  <c r="G7"/>
  <c r="G16"/>
  <c r="G15"/>
  <c r="G14"/>
  <c r="G13"/>
  <c r="G12"/>
  <c r="G11"/>
  <c r="G10"/>
  <c r="G9"/>
  <c r="F11" i="2" l="1"/>
  <c r="I11"/>
  <c r="G11"/>
  <c r="J70"/>
  <c r="D72"/>
  <c r="I73"/>
  <c r="J74"/>
  <c r="D76"/>
  <c r="I77"/>
  <c r="C79"/>
  <c r="I70"/>
  <c r="D70"/>
  <c r="A71"/>
  <c r="I71"/>
  <c r="F72"/>
  <c r="C73"/>
  <c r="K73"/>
  <c r="H74"/>
  <c r="E75"/>
  <c r="B76"/>
  <c r="J76"/>
  <c r="G77"/>
  <c r="D78"/>
  <c r="A79"/>
  <c r="I79"/>
  <c r="G70"/>
  <c r="D71"/>
  <c r="A72"/>
  <c r="I72"/>
  <c r="F73"/>
  <c r="C74"/>
  <c r="K74"/>
  <c r="H75"/>
  <c r="E76"/>
  <c r="B77"/>
  <c r="J77"/>
  <c r="G78"/>
  <c r="D79"/>
  <c r="K79"/>
  <c r="C71"/>
  <c r="H72"/>
  <c r="F74"/>
  <c r="K75"/>
  <c r="E77"/>
  <c r="J78"/>
  <c r="E70"/>
  <c r="F71"/>
  <c r="G72"/>
  <c r="D73"/>
  <c r="A74"/>
  <c r="I74"/>
  <c r="F75"/>
  <c r="C76"/>
  <c r="K76"/>
  <c r="H77"/>
  <c r="E78"/>
  <c r="B79"/>
  <c r="J79"/>
  <c r="G71"/>
  <c r="A73"/>
  <c r="B74"/>
  <c r="G75"/>
  <c r="A77"/>
  <c r="F78"/>
  <c r="A70"/>
  <c r="C72"/>
  <c r="H70"/>
  <c r="E71"/>
  <c r="B72"/>
  <c r="J72"/>
  <c r="G73"/>
  <c r="D74"/>
  <c r="A75"/>
  <c r="I75"/>
  <c r="F76"/>
  <c r="C77"/>
  <c r="K77"/>
  <c r="H78"/>
  <c r="E79"/>
  <c r="C70"/>
  <c r="K70"/>
  <c r="H71"/>
  <c r="E72"/>
  <c r="B73"/>
  <c r="J73"/>
  <c r="G74"/>
  <c r="D75"/>
  <c r="A76"/>
  <c r="I76"/>
  <c r="F77"/>
  <c r="C78"/>
  <c r="K78"/>
  <c r="H79"/>
  <c r="F70"/>
  <c r="K71"/>
  <c r="E73"/>
  <c r="C75"/>
  <c r="H76"/>
  <c r="B78"/>
  <c r="G79"/>
  <c r="B71"/>
  <c r="J71"/>
  <c r="K72"/>
  <c r="H73"/>
  <c r="E74"/>
  <c r="B75"/>
  <c r="J75"/>
  <c r="G76"/>
  <c r="D77"/>
  <c r="A78"/>
  <c r="I78"/>
  <c r="F79"/>
  <c r="B138" l="1" a="1"/>
  <c r="B138" s="1"/>
  <c r="A86" a="1"/>
  <c r="J11" a="1"/>
  <c r="J11" s="1"/>
  <c r="A16" s="1"/>
  <c r="J139" l="1"/>
  <c r="B143"/>
  <c r="D146"/>
  <c r="H139"/>
  <c r="J142"/>
  <c r="B146"/>
  <c r="E145"/>
  <c r="G144"/>
  <c r="C140"/>
  <c r="C147"/>
  <c r="K143"/>
  <c r="I140"/>
  <c r="D138"/>
  <c r="F141"/>
  <c r="H144"/>
  <c r="J147"/>
  <c r="D141"/>
  <c r="F144"/>
  <c r="H147"/>
  <c r="E147"/>
  <c r="C142"/>
  <c r="G138"/>
  <c r="G145"/>
  <c r="E142"/>
  <c r="C139"/>
  <c r="B139"/>
  <c r="H140"/>
  <c r="D142"/>
  <c r="J143"/>
  <c r="F145"/>
  <c r="B147"/>
  <c r="J138"/>
  <c r="F140"/>
  <c r="B142"/>
  <c r="H143"/>
  <c r="D145"/>
  <c r="J146"/>
  <c r="K146"/>
  <c r="K142"/>
  <c r="I145"/>
  <c r="E143"/>
  <c r="E141"/>
  <c r="E139"/>
  <c r="K147"/>
  <c r="E146"/>
  <c r="I144"/>
  <c r="C143"/>
  <c r="G141"/>
  <c r="K139"/>
  <c r="E138"/>
  <c r="H138"/>
  <c r="F139"/>
  <c r="D140"/>
  <c r="B141"/>
  <c r="J141"/>
  <c r="H142"/>
  <c r="F143"/>
  <c r="D144"/>
  <c r="B145"/>
  <c r="J145"/>
  <c r="H146"/>
  <c r="F147"/>
  <c r="F138"/>
  <c r="D139"/>
  <c r="B140"/>
  <c r="J140"/>
  <c r="H141"/>
  <c r="F142"/>
  <c r="D143"/>
  <c r="B144"/>
  <c r="J144"/>
  <c r="H145"/>
  <c r="F146"/>
  <c r="D147"/>
  <c r="I147"/>
  <c r="C146"/>
  <c r="C144"/>
  <c r="K140"/>
  <c r="G146"/>
  <c r="K144"/>
  <c r="I143"/>
  <c r="G142"/>
  <c r="I141"/>
  <c r="G140"/>
  <c r="I139"/>
  <c r="K138"/>
  <c r="C138"/>
  <c r="G147"/>
  <c r="I146"/>
  <c r="K145"/>
  <c r="C145"/>
  <c r="E144"/>
  <c r="G143"/>
  <c r="I142"/>
  <c r="K141"/>
  <c r="C141"/>
  <c r="E140"/>
  <c r="G139"/>
  <c r="I138"/>
  <c r="A86"/>
  <c r="J95"/>
  <c r="F95"/>
  <c r="B95"/>
  <c r="H94"/>
  <c r="D94"/>
  <c r="J93"/>
  <c r="F93"/>
  <c r="B93"/>
  <c r="H92"/>
  <c r="D92"/>
  <c r="J91"/>
  <c r="F91"/>
  <c r="B91"/>
  <c r="H90"/>
  <c r="D90"/>
  <c r="J89"/>
  <c r="F89"/>
  <c r="B89"/>
  <c r="H88"/>
  <c r="D88"/>
  <c r="J87"/>
  <c r="F87"/>
  <c r="B87"/>
  <c r="H86"/>
  <c r="D86"/>
  <c r="I95"/>
  <c r="E95"/>
  <c r="A95"/>
  <c r="G94"/>
  <c r="C94"/>
  <c r="I93"/>
  <c r="E93"/>
  <c r="A93"/>
  <c r="G92"/>
  <c r="C92"/>
  <c r="I91"/>
  <c r="E91"/>
  <c r="A91"/>
  <c r="G90"/>
  <c r="C90"/>
  <c r="I89"/>
  <c r="E89"/>
  <c r="A89"/>
  <c r="G88"/>
  <c r="C88"/>
  <c r="I87"/>
  <c r="E87"/>
  <c r="A87"/>
  <c r="G86"/>
  <c r="C86"/>
  <c r="H95"/>
  <c r="D95"/>
  <c r="J94"/>
  <c r="F94"/>
  <c r="B94"/>
  <c r="H93"/>
  <c r="D93"/>
  <c r="J92"/>
  <c r="F92"/>
  <c r="B92"/>
  <c r="H91"/>
  <c r="D91"/>
  <c r="J90"/>
  <c r="F90"/>
  <c r="B90"/>
  <c r="H89"/>
  <c r="D89"/>
  <c r="J88"/>
  <c r="F88"/>
  <c r="B88"/>
  <c r="H87"/>
  <c r="D87"/>
  <c r="J86"/>
  <c r="F86"/>
  <c r="B86"/>
  <c r="G95"/>
  <c r="C95"/>
  <c r="I94"/>
  <c r="E94"/>
  <c r="A94"/>
  <c r="G93"/>
  <c r="C93"/>
  <c r="I92"/>
  <c r="E92"/>
  <c r="A92"/>
  <c r="G91"/>
  <c r="C91"/>
  <c r="I90"/>
  <c r="E90"/>
  <c r="A90"/>
  <c r="G89"/>
  <c r="C89"/>
  <c r="I88"/>
  <c r="E88"/>
  <c r="A88"/>
  <c r="G87"/>
  <c r="C87"/>
  <c r="I86"/>
  <c r="E86"/>
  <c r="B155" l="1" a="1"/>
  <c r="B155" l="1"/>
  <c r="B164"/>
  <c r="B160"/>
  <c r="B156"/>
  <c r="B161"/>
  <c r="B157"/>
  <c r="B162"/>
  <c r="B158"/>
  <c r="B163"/>
  <c r="B159"/>
  <c r="D155" l="1" a="1"/>
  <c r="E155" a="1"/>
  <c r="E155" s="1"/>
  <c r="D155" l="1"/>
  <c r="D162"/>
  <c r="D158"/>
  <c r="D163"/>
  <c r="D159"/>
  <c r="D164"/>
  <c r="D160"/>
  <c r="D156"/>
  <c r="D161"/>
  <c r="D157"/>
  <c r="S20" i="9" l="1" a="1"/>
  <c r="S20" s="1"/>
  <c r="E20" s="1"/>
  <c r="F20" s="1"/>
  <c r="S22" a="1"/>
  <c r="S22" s="1"/>
  <c r="E22" s="1"/>
  <c r="S24" a="1"/>
  <c r="S24" s="1"/>
  <c r="E24" s="1"/>
  <c r="S26" a="1"/>
  <c r="S26" s="1"/>
  <c r="E26" s="1"/>
  <c r="S18" a="1"/>
  <c r="S18" s="1"/>
  <c r="E18" s="1"/>
  <c r="S19" a="1"/>
  <c r="S19" s="1"/>
  <c r="E19" s="1"/>
  <c r="S21" a="1"/>
  <c r="S21" s="1"/>
  <c r="E21" s="1"/>
  <c r="S23" a="1"/>
  <c r="S23" s="1"/>
  <c r="E23" s="1"/>
  <c r="S25" a="1"/>
  <c r="S25" s="1"/>
  <c r="E25" s="1"/>
  <c r="F25" s="1"/>
  <c r="S27" a="1"/>
  <c r="S27" s="1"/>
  <c r="E27" s="1"/>
  <c r="G42" a="1"/>
  <c r="G42" s="1"/>
  <c r="A60" s="1"/>
  <c r="F26"/>
  <c r="F21"/>
  <c r="F27"/>
  <c r="F22" l="1"/>
  <c r="F18"/>
  <c r="F19"/>
  <c r="F24"/>
  <c r="F23"/>
</calcChain>
</file>

<file path=xl/sharedStrings.xml><?xml version="1.0" encoding="utf-8"?>
<sst xmlns="http://schemas.openxmlformats.org/spreadsheetml/2006/main" count="55" uniqueCount="40">
  <si>
    <t>Input Data Points</t>
  </si>
  <si>
    <t>index</t>
  </si>
  <si>
    <t>First</t>
  </si>
  <si>
    <t>Second</t>
  </si>
  <si>
    <t>Kernel function</t>
  </si>
  <si>
    <t>Index</t>
  </si>
  <si>
    <t>What if Table</t>
  </si>
  <si>
    <t>X1</t>
  </si>
  <si>
    <t>X2</t>
  </si>
  <si>
    <t>INDEX</t>
  </si>
  <si>
    <t>CLASS</t>
  </si>
  <si>
    <t>KERNEL TRICK</t>
  </si>
  <si>
    <t>Normalized Data Points</t>
  </si>
  <si>
    <t>Mean</t>
  </si>
  <si>
    <t>SD</t>
  </si>
  <si>
    <t>D</t>
  </si>
  <si>
    <t>I/C</t>
  </si>
  <si>
    <t>I</t>
  </si>
  <si>
    <t>C</t>
  </si>
  <si>
    <t>G</t>
  </si>
  <si>
    <t>Gamma</t>
  </si>
  <si>
    <t>Augmented Matrix (K-e)</t>
  </si>
  <si>
    <t>x1</t>
  </si>
  <si>
    <t>x2</t>
  </si>
  <si>
    <t>Identity Matrix</t>
  </si>
  <si>
    <t>Diagonal Matrix D having Class values</t>
  </si>
  <si>
    <t>PREDICTION FUNCTION</t>
  </si>
  <si>
    <t>Prediction</t>
  </si>
  <si>
    <t>Grid Range -2 to +2</t>
  </si>
  <si>
    <r>
      <t>I/C+GG</t>
    </r>
    <r>
      <rPr>
        <vertAlign val="superscript"/>
        <sz val="11"/>
        <color theme="1"/>
        <rFont val="Calibri"/>
        <family val="2"/>
        <scheme val="minor"/>
      </rPr>
      <t>T</t>
    </r>
  </si>
  <si>
    <r>
      <t>GG</t>
    </r>
    <r>
      <rPr>
        <vertAlign val="superscript"/>
        <sz val="11"/>
        <color theme="1"/>
        <rFont val="Calibri"/>
        <family val="2"/>
        <scheme val="minor"/>
      </rPr>
      <t>T</t>
    </r>
  </si>
  <si>
    <r>
      <t>t=(I/C+GG</t>
    </r>
    <r>
      <rPr>
        <b/>
        <vertAlign val="superscript"/>
        <sz val="11"/>
        <color theme="1"/>
        <rFont val="Calibri"/>
        <family val="2"/>
        <scheme val="minor"/>
      </rPr>
      <t>T</t>
    </r>
    <r>
      <rPr>
        <b/>
        <sz val="11"/>
        <color theme="1"/>
        <rFont val="Calibri"/>
        <family val="2"/>
        <scheme val="minor"/>
      </rPr>
      <t>)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e</t>
    </r>
  </si>
  <si>
    <t xml:space="preserve">Prediction to training data </t>
  </si>
  <si>
    <t>Actual CLASS</t>
  </si>
  <si>
    <t>Predicted</t>
  </si>
  <si>
    <t>True/false</t>
  </si>
  <si>
    <t>Kx</t>
  </si>
  <si>
    <t>Kernel Matrix with respect to new data</t>
  </si>
  <si>
    <t>u^</t>
  </si>
  <si>
    <t>Non Linear PSVM Problem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</si>
</sst>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Input!$G$7:$G$11</c:f>
              <c:numCache>
                <c:formatCode>General</c:formatCode>
                <c:ptCount val="5"/>
                <c:pt idx="0">
                  <c:v>-1.7985617256992208</c:v>
                </c:pt>
                <c:pt idx="1">
                  <c:v>-1.0791370354195324</c:v>
                </c:pt>
                <c:pt idx="2">
                  <c:v>-0.59952057523307356</c:v>
                </c:pt>
                <c:pt idx="3">
                  <c:v>1.0791370354195324</c:v>
                </c:pt>
                <c:pt idx="4">
                  <c:v>0.11990411504661472</c:v>
                </c:pt>
              </c:numCache>
            </c:numRef>
          </c:xVal>
          <c:yVal>
            <c:numRef>
              <c:f>Input!$H$7:$H$11</c:f>
              <c:numCache>
                <c:formatCode>General</c:formatCode>
                <c:ptCount val="5"/>
                <c:pt idx="0">
                  <c:v>-1.673029923884684</c:v>
                </c:pt>
                <c:pt idx="1">
                  <c:v>-0.59365577944295245</c:v>
                </c:pt>
                <c:pt idx="2">
                  <c:v>0.75556190110921206</c:v>
                </c:pt>
                <c:pt idx="3">
                  <c:v>-1.4031863877742512</c:v>
                </c:pt>
                <c:pt idx="4">
                  <c:v>0.21587482888834628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xVal>
            <c:numRef>
              <c:f>Input!$G$12:$G$16</c:f>
              <c:numCache>
                <c:formatCode>General</c:formatCode>
                <c:ptCount val="5"/>
                <c:pt idx="0">
                  <c:v>0.35971234513984418</c:v>
                </c:pt>
                <c:pt idx="1">
                  <c:v>-0.35971234513984418</c:v>
                </c:pt>
                <c:pt idx="2">
                  <c:v>0.59952057523307356</c:v>
                </c:pt>
                <c:pt idx="3">
                  <c:v>0.11990411504661472</c:v>
                </c:pt>
                <c:pt idx="4">
                  <c:v>1.5587534956059914</c:v>
                </c:pt>
              </c:numCache>
            </c:numRef>
          </c:xVal>
          <c:yVal>
            <c:numRef>
              <c:f>Input!$H$12:$H$16</c:f>
              <c:numCache>
                <c:formatCode>General</c:formatCode>
                <c:ptCount val="5"/>
                <c:pt idx="0">
                  <c:v>0.48571836499877918</c:v>
                </c:pt>
                <c:pt idx="1">
                  <c:v>1.5650925094405108</c:v>
                </c:pt>
                <c:pt idx="2">
                  <c:v>0.48571836499877918</c:v>
                </c:pt>
                <c:pt idx="3">
                  <c:v>-0.32381224333251951</c:v>
                </c:pt>
                <c:pt idx="4">
                  <c:v>0.48571836499877918</c:v>
                </c:pt>
              </c:numCache>
            </c:numRef>
          </c:yVal>
        </c:ser>
        <c:axId val="65260928"/>
        <c:axId val="65217664"/>
      </c:scatterChart>
      <c:valAx>
        <c:axId val="65260928"/>
        <c:scaling>
          <c:orientation val="minMax"/>
        </c:scaling>
        <c:axPos val="b"/>
        <c:numFmt formatCode="General" sourceLinked="1"/>
        <c:tickLblPos val="nextTo"/>
        <c:crossAx val="65217664"/>
        <c:crosses val="autoZero"/>
        <c:crossBetween val="midCat"/>
      </c:valAx>
      <c:valAx>
        <c:axId val="65217664"/>
        <c:scaling>
          <c:orientation val="minMax"/>
        </c:scaling>
        <c:axPos val="l"/>
        <c:numFmt formatCode="General" sourceLinked="1"/>
        <c:tickLblPos val="nextTo"/>
        <c:crossAx val="65260928"/>
        <c:crosses val="autoZero"/>
        <c:crossBetween val="midCat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Input!$G$7:$G$11</c:f>
              <c:numCache>
                <c:formatCode>General</c:formatCode>
                <c:ptCount val="5"/>
                <c:pt idx="0">
                  <c:v>-1.7985617256992208</c:v>
                </c:pt>
                <c:pt idx="1">
                  <c:v>-1.0791370354195324</c:v>
                </c:pt>
                <c:pt idx="2">
                  <c:v>-0.59952057523307356</c:v>
                </c:pt>
                <c:pt idx="3">
                  <c:v>1.0791370354195324</c:v>
                </c:pt>
                <c:pt idx="4">
                  <c:v>0.11990411504661472</c:v>
                </c:pt>
              </c:numCache>
            </c:numRef>
          </c:xVal>
          <c:yVal>
            <c:numRef>
              <c:f>Input!$H$7:$H$11</c:f>
              <c:numCache>
                <c:formatCode>General</c:formatCode>
                <c:ptCount val="5"/>
                <c:pt idx="0">
                  <c:v>-1.673029923884684</c:v>
                </c:pt>
                <c:pt idx="1">
                  <c:v>-0.59365577944295245</c:v>
                </c:pt>
                <c:pt idx="2">
                  <c:v>0.75556190110921206</c:v>
                </c:pt>
                <c:pt idx="3">
                  <c:v>-1.4031863877742512</c:v>
                </c:pt>
                <c:pt idx="4">
                  <c:v>0.21587482888834628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xVal>
            <c:numRef>
              <c:f>Input!$G$12:$G$16</c:f>
              <c:numCache>
                <c:formatCode>General</c:formatCode>
                <c:ptCount val="5"/>
                <c:pt idx="0">
                  <c:v>0.35971234513984418</c:v>
                </c:pt>
                <c:pt idx="1">
                  <c:v>-0.35971234513984418</c:v>
                </c:pt>
                <c:pt idx="2">
                  <c:v>0.59952057523307356</c:v>
                </c:pt>
                <c:pt idx="3">
                  <c:v>0.11990411504661472</c:v>
                </c:pt>
                <c:pt idx="4">
                  <c:v>1.5587534956059914</c:v>
                </c:pt>
              </c:numCache>
            </c:numRef>
          </c:xVal>
          <c:yVal>
            <c:numRef>
              <c:f>Input!$H$12:$H$16</c:f>
              <c:numCache>
                <c:formatCode>General</c:formatCode>
                <c:ptCount val="5"/>
                <c:pt idx="0">
                  <c:v>0.48571836499877918</c:v>
                </c:pt>
                <c:pt idx="1">
                  <c:v>1.5650925094405108</c:v>
                </c:pt>
                <c:pt idx="2">
                  <c:v>0.48571836499877918</c:v>
                </c:pt>
                <c:pt idx="3">
                  <c:v>-0.32381224333251951</c:v>
                </c:pt>
                <c:pt idx="4">
                  <c:v>0.48571836499877918</c:v>
                </c:pt>
              </c:numCache>
            </c:numRef>
          </c:yVal>
        </c:ser>
        <c:axId val="90705280"/>
        <c:axId val="90715264"/>
      </c:scatterChart>
      <c:valAx>
        <c:axId val="90705280"/>
        <c:scaling>
          <c:orientation val="minMax"/>
        </c:scaling>
        <c:axPos val="b"/>
        <c:numFmt formatCode="General" sourceLinked="1"/>
        <c:tickLblPos val="nextTo"/>
        <c:crossAx val="90715264"/>
        <c:crosses val="autoZero"/>
        <c:crossBetween val="midCat"/>
      </c:valAx>
      <c:valAx>
        <c:axId val="90715264"/>
        <c:scaling>
          <c:orientation val="minMax"/>
        </c:scaling>
        <c:axPos val="l"/>
        <c:numFmt formatCode="General" sourceLinked="1"/>
        <c:tickLblPos val="nextTo"/>
        <c:crossAx val="90705280"/>
        <c:crosses val="autoZero"/>
        <c:crossBetween val="midCat"/>
      </c:valAx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476250</xdr:colOff>
      <xdr:row>11</xdr:row>
      <xdr:rowOff>38100</xdr:rowOff>
    </xdr:from>
    <xdr:to>
      <xdr:col>15</xdr:col>
      <xdr:colOff>561975</xdr:colOff>
      <xdr:row>25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54</xdr:row>
      <xdr:rowOff>180975</xdr:rowOff>
    </xdr:from>
    <xdr:to>
      <xdr:col>2</xdr:col>
      <xdr:colOff>428625</xdr:colOff>
      <xdr:row>54</xdr:row>
      <xdr:rowOff>182563</xdr:rowOff>
    </xdr:to>
    <xdr:cxnSp macro="">
      <xdr:nvCxnSpPr>
        <xdr:cNvPr id="6" name="Straight Arrow Connector 5"/>
        <xdr:cNvCxnSpPr/>
      </xdr:nvCxnSpPr>
      <xdr:spPr>
        <a:xfrm>
          <a:off x="1790700" y="6134100"/>
          <a:ext cx="42862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54</xdr:row>
      <xdr:rowOff>171449</xdr:rowOff>
    </xdr:from>
    <xdr:to>
      <xdr:col>2</xdr:col>
      <xdr:colOff>2</xdr:colOff>
      <xdr:row>57</xdr:row>
      <xdr:rowOff>9525</xdr:rowOff>
    </xdr:to>
    <xdr:cxnSp macro="">
      <xdr:nvCxnSpPr>
        <xdr:cNvPr id="7" name="Straight Arrow Connector 6"/>
        <xdr:cNvCxnSpPr/>
      </xdr:nvCxnSpPr>
      <xdr:spPr>
        <a:xfrm rot="5400000">
          <a:off x="1581150" y="6334124"/>
          <a:ext cx="419101" cy="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66675</xdr:colOff>
      <xdr:row>53</xdr:row>
      <xdr:rowOff>161925</xdr:rowOff>
    </xdr:from>
    <xdr:ext cx="329386" cy="264560"/>
    <xdr:sp macro="" textlink="">
      <xdr:nvSpPr>
        <xdr:cNvPr id="8" name="TextBox 7"/>
        <xdr:cNvSpPr txBox="1"/>
      </xdr:nvSpPr>
      <xdr:spPr>
        <a:xfrm>
          <a:off x="1857375" y="5915025"/>
          <a:ext cx="3293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/>
            <a:t>X1</a:t>
          </a:r>
        </a:p>
      </xdr:txBody>
    </xdr:sp>
    <xdr:clientData/>
  </xdr:oneCellAnchor>
  <xdr:oneCellAnchor>
    <xdr:from>
      <xdr:col>1</xdr:col>
      <xdr:colOff>361950</xdr:colOff>
      <xdr:row>55</xdr:row>
      <xdr:rowOff>9525</xdr:rowOff>
    </xdr:from>
    <xdr:ext cx="329386" cy="264560"/>
    <xdr:sp macro="" textlink="">
      <xdr:nvSpPr>
        <xdr:cNvPr id="9" name="TextBox 8"/>
        <xdr:cNvSpPr txBox="1"/>
      </xdr:nvSpPr>
      <xdr:spPr>
        <a:xfrm>
          <a:off x="1543050" y="6162675"/>
          <a:ext cx="3293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/>
            <a:t>X2</a:t>
          </a:r>
        </a:p>
      </xdr:txBody>
    </xdr:sp>
    <xdr:clientData/>
  </xdr:oneCellAnchor>
  <xdr:twoCellAnchor>
    <xdr:from>
      <xdr:col>2</xdr:col>
      <xdr:colOff>0</xdr:colOff>
      <xdr:row>54</xdr:row>
      <xdr:rowOff>180975</xdr:rowOff>
    </xdr:from>
    <xdr:to>
      <xdr:col>2</xdr:col>
      <xdr:colOff>428625</xdr:colOff>
      <xdr:row>54</xdr:row>
      <xdr:rowOff>182563</xdr:rowOff>
    </xdr:to>
    <xdr:cxnSp macro="">
      <xdr:nvCxnSpPr>
        <xdr:cNvPr id="10" name="Straight Arrow Connector 9"/>
        <xdr:cNvCxnSpPr/>
      </xdr:nvCxnSpPr>
      <xdr:spPr>
        <a:xfrm>
          <a:off x="1790700" y="6134100"/>
          <a:ext cx="42862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54</xdr:row>
      <xdr:rowOff>171449</xdr:rowOff>
    </xdr:from>
    <xdr:to>
      <xdr:col>2</xdr:col>
      <xdr:colOff>2</xdr:colOff>
      <xdr:row>57</xdr:row>
      <xdr:rowOff>9525</xdr:rowOff>
    </xdr:to>
    <xdr:cxnSp macro="">
      <xdr:nvCxnSpPr>
        <xdr:cNvPr id="11" name="Straight Arrow Connector 10"/>
        <xdr:cNvCxnSpPr/>
      </xdr:nvCxnSpPr>
      <xdr:spPr>
        <a:xfrm rot="5400000">
          <a:off x="1581150" y="6334124"/>
          <a:ext cx="419101" cy="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66675</xdr:colOff>
      <xdr:row>53</xdr:row>
      <xdr:rowOff>161925</xdr:rowOff>
    </xdr:from>
    <xdr:ext cx="329386" cy="264560"/>
    <xdr:sp macro="" textlink="">
      <xdr:nvSpPr>
        <xdr:cNvPr id="12" name="TextBox 11"/>
        <xdr:cNvSpPr txBox="1"/>
      </xdr:nvSpPr>
      <xdr:spPr>
        <a:xfrm>
          <a:off x="1857375" y="5915025"/>
          <a:ext cx="3293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/>
            <a:t>X1</a:t>
          </a:r>
        </a:p>
      </xdr:txBody>
    </xdr:sp>
    <xdr:clientData/>
  </xdr:oneCellAnchor>
  <xdr:oneCellAnchor>
    <xdr:from>
      <xdr:col>1</xdr:col>
      <xdr:colOff>361950</xdr:colOff>
      <xdr:row>55</xdr:row>
      <xdr:rowOff>9525</xdr:rowOff>
    </xdr:from>
    <xdr:ext cx="329386" cy="264560"/>
    <xdr:sp macro="" textlink="">
      <xdr:nvSpPr>
        <xdr:cNvPr id="13" name="TextBox 12"/>
        <xdr:cNvSpPr txBox="1"/>
      </xdr:nvSpPr>
      <xdr:spPr>
        <a:xfrm>
          <a:off x="1543050" y="6162675"/>
          <a:ext cx="3293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/>
            <a:t>X2</a:t>
          </a:r>
        </a:p>
      </xdr:txBody>
    </xdr:sp>
    <xdr:clientData/>
  </xdr:oneCellAnchor>
  <xdr:twoCellAnchor>
    <xdr:from>
      <xdr:col>9</xdr:col>
      <xdr:colOff>790575</xdr:colOff>
      <xdr:row>5</xdr:row>
      <xdr:rowOff>19051</xdr:rowOff>
    </xdr:from>
    <xdr:to>
      <xdr:col>10</xdr:col>
      <xdr:colOff>381000</xdr:colOff>
      <xdr:row>5</xdr:row>
      <xdr:rowOff>133351</xdr:rowOff>
    </xdr:to>
    <xdr:sp macro="" textlink="">
      <xdr:nvSpPr>
        <xdr:cNvPr id="15" name="Right Arrow 14"/>
        <xdr:cNvSpPr/>
      </xdr:nvSpPr>
      <xdr:spPr>
        <a:xfrm>
          <a:off x="9124950" y="971551"/>
          <a:ext cx="438150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320387</xdr:colOff>
      <xdr:row>2</xdr:row>
      <xdr:rowOff>17318</xdr:rowOff>
    </xdr:from>
    <xdr:to>
      <xdr:col>50</xdr:col>
      <xdr:colOff>207819</xdr:colOff>
      <xdr:row>42</xdr:row>
      <xdr:rowOff>51954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6.bin"/><Relationship Id="rId3" Type="http://schemas.openxmlformats.org/officeDocument/2006/relationships/vmlDrawing" Target="../drawings/vmlDrawing2.vml"/><Relationship Id="rId7" Type="http://schemas.openxmlformats.org/officeDocument/2006/relationships/oleObject" Target="../embeddings/oleObject5.bin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4.bin"/><Relationship Id="rId5" Type="http://schemas.openxmlformats.org/officeDocument/2006/relationships/oleObject" Target="../embeddings/oleObject3.bin"/><Relationship Id="rId4" Type="http://schemas.openxmlformats.org/officeDocument/2006/relationships/oleObject" Target="../embeddings/oleObject2.bin"/><Relationship Id="rId9" Type="http://schemas.openxmlformats.org/officeDocument/2006/relationships/oleObject" Target="../embeddings/oleObject7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T18"/>
  <sheetViews>
    <sheetView tabSelected="1" workbookViewId="0">
      <selection activeCell="E19" sqref="E19"/>
    </sheetView>
  </sheetViews>
  <sheetFormatPr defaultRowHeight="15"/>
  <cols>
    <col min="1" max="1" width="16.28515625" bestFit="1" customWidth="1"/>
    <col min="6" max="6" width="20.7109375" bestFit="1" customWidth="1"/>
    <col min="9" max="9" width="13.85546875" bestFit="1" customWidth="1"/>
    <col min="11" max="11" width="12.7109375" bestFit="1" customWidth="1"/>
    <col min="12" max="12" width="12" bestFit="1" customWidth="1"/>
    <col min="14" max="14" width="15.140625" bestFit="1" customWidth="1"/>
  </cols>
  <sheetData>
    <row r="2" spans="1:20" ht="26.25">
      <c r="A2" s="53" t="s">
        <v>39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</row>
    <row r="4" spans="1:20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20">
      <c r="A5" s="47" t="s">
        <v>0</v>
      </c>
      <c r="B5" s="47"/>
      <c r="C5" s="47"/>
      <c r="D5" s="47"/>
      <c r="F5" s="47" t="s">
        <v>12</v>
      </c>
      <c r="G5" s="47"/>
      <c r="H5" s="47"/>
      <c r="I5" s="47"/>
    </row>
    <row r="6" spans="1:20">
      <c r="A6" s="54" t="s">
        <v>9</v>
      </c>
      <c r="B6" s="54" t="s">
        <v>7</v>
      </c>
      <c r="C6" s="54" t="s">
        <v>8</v>
      </c>
      <c r="D6" s="54" t="s">
        <v>10</v>
      </c>
      <c r="F6" s="54" t="s">
        <v>9</v>
      </c>
      <c r="G6" s="54" t="s">
        <v>7</v>
      </c>
      <c r="H6" s="54" t="s">
        <v>8</v>
      </c>
      <c r="I6" s="54" t="s">
        <v>10</v>
      </c>
    </row>
    <row r="7" spans="1:20">
      <c r="A7" s="17">
        <v>1</v>
      </c>
      <c r="B7" s="17">
        <v>0</v>
      </c>
      <c r="C7" s="17">
        <v>0</v>
      </c>
      <c r="D7" s="17">
        <v>1</v>
      </c>
      <c r="F7" s="4">
        <f t="shared" ref="F7:F16" si="0">A7</f>
        <v>1</v>
      </c>
      <c r="G7" s="4">
        <f t="shared" ref="G7:G16" si="1">(B7-B$17)/B$18</f>
        <v>-1.7985617256992208</v>
      </c>
      <c r="H7" s="4">
        <f t="shared" ref="H7:H16" si="2">(C7-C$17)/C$18</f>
        <v>-1.673029923884684</v>
      </c>
      <c r="I7" s="4">
        <f t="shared" ref="I7:I16" si="3">D7</f>
        <v>1</v>
      </c>
    </row>
    <row r="8" spans="1:20">
      <c r="A8" s="17">
        <v>2</v>
      </c>
      <c r="B8" s="17">
        <v>3</v>
      </c>
      <c r="C8" s="17">
        <v>4</v>
      </c>
      <c r="D8" s="17">
        <v>1</v>
      </c>
      <c r="F8" s="4">
        <f t="shared" si="0"/>
        <v>2</v>
      </c>
      <c r="G8" s="4">
        <f t="shared" si="1"/>
        <v>-1.0791370354195324</v>
      </c>
      <c r="H8" s="4">
        <f t="shared" si="2"/>
        <v>-0.59365577944295245</v>
      </c>
      <c r="I8" s="4">
        <f t="shared" si="3"/>
        <v>1</v>
      </c>
    </row>
    <row r="9" spans="1:20">
      <c r="A9" s="17">
        <v>3</v>
      </c>
      <c r="B9" s="17">
        <v>5</v>
      </c>
      <c r="C9" s="17">
        <v>9</v>
      </c>
      <c r="D9" s="17">
        <v>1</v>
      </c>
      <c r="F9" s="4">
        <f t="shared" si="0"/>
        <v>3</v>
      </c>
      <c r="G9" s="4">
        <f t="shared" si="1"/>
        <v>-0.59952057523307356</v>
      </c>
      <c r="H9" s="4">
        <f t="shared" si="2"/>
        <v>0.75556190110921206</v>
      </c>
      <c r="I9" s="4">
        <f t="shared" si="3"/>
        <v>1</v>
      </c>
    </row>
    <row r="10" spans="1:20">
      <c r="A10" s="17">
        <v>4</v>
      </c>
      <c r="B10" s="18">
        <v>12</v>
      </c>
      <c r="C10" s="17">
        <v>1</v>
      </c>
      <c r="D10" s="17">
        <v>1</v>
      </c>
      <c r="F10" s="4">
        <f t="shared" si="0"/>
        <v>4</v>
      </c>
      <c r="G10" s="4">
        <f t="shared" si="1"/>
        <v>1.0791370354195324</v>
      </c>
      <c r="H10" s="4">
        <f t="shared" si="2"/>
        <v>-1.4031863877742512</v>
      </c>
      <c r="I10" s="4">
        <f t="shared" si="3"/>
        <v>1</v>
      </c>
    </row>
    <row r="11" spans="1:20">
      <c r="A11" s="17">
        <v>5</v>
      </c>
      <c r="B11" s="18">
        <v>8</v>
      </c>
      <c r="C11" s="18">
        <v>7</v>
      </c>
      <c r="D11" s="17">
        <v>1</v>
      </c>
      <c r="F11" s="4">
        <f t="shared" si="0"/>
        <v>5</v>
      </c>
      <c r="G11" s="4">
        <f t="shared" si="1"/>
        <v>0.11990411504661472</v>
      </c>
      <c r="H11" s="4">
        <f t="shared" si="2"/>
        <v>0.21587482888834628</v>
      </c>
      <c r="I11" s="4">
        <f t="shared" si="3"/>
        <v>1</v>
      </c>
    </row>
    <row r="12" spans="1:20">
      <c r="A12" s="17">
        <v>6</v>
      </c>
      <c r="B12" s="18">
        <v>9</v>
      </c>
      <c r="C12" s="18">
        <v>8</v>
      </c>
      <c r="D12" s="18">
        <v>-1</v>
      </c>
      <c r="F12" s="4">
        <f t="shared" si="0"/>
        <v>6</v>
      </c>
      <c r="G12" s="4">
        <f t="shared" si="1"/>
        <v>0.35971234513984418</v>
      </c>
      <c r="H12" s="4">
        <f t="shared" si="2"/>
        <v>0.48571836499877918</v>
      </c>
      <c r="I12" s="4">
        <f t="shared" si="3"/>
        <v>-1</v>
      </c>
    </row>
    <row r="13" spans="1:20">
      <c r="A13" s="17">
        <v>7</v>
      </c>
      <c r="B13" s="18">
        <v>6</v>
      </c>
      <c r="C13" s="18">
        <v>12</v>
      </c>
      <c r="D13" s="18">
        <v>-1</v>
      </c>
      <c r="F13" s="4">
        <f t="shared" si="0"/>
        <v>7</v>
      </c>
      <c r="G13" s="4">
        <f t="shared" si="1"/>
        <v>-0.35971234513984418</v>
      </c>
      <c r="H13" s="4">
        <f t="shared" si="2"/>
        <v>1.5650925094405108</v>
      </c>
      <c r="I13" s="4">
        <f t="shared" si="3"/>
        <v>-1</v>
      </c>
    </row>
    <row r="14" spans="1:20">
      <c r="A14" s="17">
        <v>8</v>
      </c>
      <c r="B14" s="18">
        <v>10</v>
      </c>
      <c r="C14" s="18">
        <v>8</v>
      </c>
      <c r="D14" s="18">
        <v>-1</v>
      </c>
      <c r="F14" s="4">
        <f t="shared" si="0"/>
        <v>8</v>
      </c>
      <c r="G14" s="4">
        <f t="shared" si="1"/>
        <v>0.59952057523307356</v>
      </c>
      <c r="H14" s="4">
        <f t="shared" si="2"/>
        <v>0.48571836499877918</v>
      </c>
      <c r="I14" s="4">
        <f t="shared" si="3"/>
        <v>-1</v>
      </c>
    </row>
    <row r="15" spans="1:20">
      <c r="A15" s="17">
        <v>9</v>
      </c>
      <c r="B15" s="18">
        <v>8</v>
      </c>
      <c r="C15" s="18">
        <v>5</v>
      </c>
      <c r="D15" s="18">
        <v>-1</v>
      </c>
      <c r="F15" s="4">
        <f t="shared" si="0"/>
        <v>9</v>
      </c>
      <c r="G15" s="4">
        <f t="shared" si="1"/>
        <v>0.11990411504661472</v>
      </c>
      <c r="H15" s="4">
        <f t="shared" si="2"/>
        <v>-0.32381224333251951</v>
      </c>
      <c r="I15" s="4">
        <f t="shared" si="3"/>
        <v>-1</v>
      </c>
    </row>
    <row r="16" spans="1:20">
      <c r="A16" s="17">
        <v>10</v>
      </c>
      <c r="B16" s="18">
        <v>14</v>
      </c>
      <c r="C16" s="18">
        <v>8</v>
      </c>
      <c r="D16" s="18">
        <v>-1</v>
      </c>
      <c r="F16" s="4">
        <f t="shared" si="0"/>
        <v>10</v>
      </c>
      <c r="G16" s="4">
        <f t="shared" si="1"/>
        <v>1.5587534956059914</v>
      </c>
      <c r="H16" s="4">
        <f t="shared" si="2"/>
        <v>0.48571836499877918</v>
      </c>
      <c r="I16" s="4">
        <f t="shared" si="3"/>
        <v>-1</v>
      </c>
    </row>
    <row r="17" spans="1:3">
      <c r="A17" s="19" t="s">
        <v>13</v>
      </c>
      <c r="B17" s="13">
        <f>AVERAGE(B7:B16)</f>
        <v>7.5</v>
      </c>
      <c r="C17" s="13">
        <f>AVERAGE(C7:C16)</f>
        <v>6.2</v>
      </c>
    </row>
    <row r="18" spans="1:3">
      <c r="A18" s="19" t="s">
        <v>14</v>
      </c>
      <c r="B18" s="13">
        <f>STDEV(B7:B16)</f>
        <v>4.1699986677322682</v>
      </c>
      <c r="C18" s="13">
        <f>STDEV(C7:C16)</f>
        <v>3.7058512292499461</v>
      </c>
    </row>
  </sheetData>
  <mergeCells count="3">
    <mergeCell ref="A5:D5"/>
    <mergeCell ref="A2:T2"/>
    <mergeCell ref="F5:I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64"/>
  <sheetViews>
    <sheetView workbookViewId="0">
      <selection activeCell="B123" sqref="B123"/>
    </sheetView>
  </sheetViews>
  <sheetFormatPr defaultRowHeight="15"/>
  <cols>
    <col min="1" max="1" width="13" style="1" bestFit="1" customWidth="1"/>
    <col min="2" max="2" width="41.7109375" style="1" customWidth="1"/>
    <col min="3" max="4" width="9.140625" style="1"/>
    <col min="5" max="5" width="12" style="1" bestFit="1" customWidth="1"/>
    <col min="6" max="6" width="9.140625" style="1"/>
    <col min="7" max="7" width="12.7109375" style="1" bestFit="1" customWidth="1"/>
    <col min="8" max="8" width="11.140625" style="1" customWidth="1"/>
    <col min="9" max="9" width="12.7109375" style="1" bestFit="1" customWidth="1"/>
    <col min="10" max="10" width="14.85546875" style="1" bestFit="1" customWidth="1"/>
    <col min="11" max="11" width="9.140625" style="1"/>
    <col min="12" max="12" width="14.85546875" style="1" bestFit="1" customWidth="1"/>
    <col min="13" max="16" width="9.140625" style="1"/>
    <col min="17" max="18" width="14.85546875" style="1" bestFit="1" customWidth="1"/>
    <col min="19" max="16384" width="9.140625" style="1"/>
  </cols>
  <sheetData>
    <row r="1" spans="1:19" ht="15.75" thickBot="1"/>
    <row r="2" spans="1:19">
      <c r="A2" s="39" t="s">
        <v>11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1"/>
    </row>
    <row r="3" spans="1:19" ht="15.75" thickBot="1">
      <c r="A3" s="42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4"/>
    </row>
    <row r="5" spans="1:19" ht="15" customHeight="1"/>
    <row r="6" spans="1:19" ht="15.75" customHeight="1">
      <c r="R6" s="2"/>
      <c r="S6" s="2"/>
    </row>
    <row r="7" spans="1:19">
      <c r="A7" s="7"/>
      <c r="B7" s="7"/>
      <c r="C7" s="7"/>
      <c r="D7" s="7"/>
      <c r="E7" s="7"/>
      <c r="F7" s="7"/>
      <c r="G7" s="7"/>
      <c r="H7" s="7"/>
      <c r="I7" s="7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>
      <c r="A8" s="7"/>
      <c r="B8" s="7"/>
      <c r="C8" s="7"/>
      <c r="D8" s="7"/>
      <c r="E8" s="7"/>
      <c r="F8" s="7"/>
      <c r="G8" s="7"/>
      <c r="H8" s="7"/>
      <c r="I8" s="7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>
      <c r="A9" s="7"/>
      <c r="B9" s="7"/>
      <c r="C9" s="7"/>
      <c r="D9" s="7"/>
      <c r="E9" s="7"/>
      <c r="F9" s="7"/>
      <c r="G9" s="7"/>
      <c r="H9" s="7"/>
      <c r="I9" s="7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>
      <c r="A10" s="7"/>
      <c r="B10" s="45" t="s">
        <v>5</v>
      </c>
      <c r="C10" s="11" t="s">
        <v>7</v>
      </c>
      <c r="D10" s="11" t="s">
        <v>8</v>
      </c>
      <c r="E10" s="2"/>
      <c r="F10" s="46" t="s">
        <v>2</v>
      </c>
      <c r="G10" s="46"/>
      <c r="H10" s="46" t="s">
        <v>3</v>
      </c>
      <c r="I10" s="46"/>
      <c r="J10" s="11" t="s">
        <v>4</v>
      </c>
      <c r="K10" s="2"/>
      <c r="L10" s="2"/>
      <c r="M10" s="2"/>
      <c r="N10" s="2"/>
      <c r="O10" s="2"/>
      <c r="P10" s="2"/>
      <c r="Q10" s="2"/>
      <c r="R10" s="2"/>
      <c r="S10" s="2"/>
    </row>
    <row r="11" spans="1:19">
      <c r="A11" s="7"/>
      <c r="B11" s="45"/>
      <c r="C11" s="4">
        <v>1</v>
      </c>
      <c r="D11" s="4">
        <v>2</v>
      </c>
      <c r="E11" s="2"/>
      <c r="F11" s="4">
        <f>INDEX(Input!$G$7:$H$16,'Non Linear Calculation'!$C$11,1)</f>
        <v>-1.7985617256992208</v>
      </c>
      <c r="G11" s="4">
        <f>INDEX(Input!$G$7:$H$16,'Non Linear Calculation'!$C$11,2)</f>
        <v>-1.673029923884684</v>
      </c>
      <c r="H11" s="4">
        <f>INDEX(Input!$G$7:$H$16,'Non Linear Calculation'!$D$11,1)</f>
        <v>-1.0791370354195324</v>
      </c>
      <c r="I11" s="4">
        <f>INDEX(Input!$G$7:$H$16,'Non Linear Calculation'!$D$11,2)</f>
        <v>-0.59365577944295245</v>
      </c>
      <c r="J11" s="4">
        <f t="array" ref="J11">(MMULT(F11:G11,TRANSPOSE(H11:I11))+1)^4</f>
        <v>239.54157258409174</v>
      </c>
      <c r="M11" s="2"/>
      <c r="N11" s="2"/>
    </row>
    <row r="12" spans="1:19">
      <c r="A12" s="7"/>
      <c r="B12" s="7"/>
      <c r="C12" s="7"/>
      <c r="M12" s="2"/>
      <c r="N12" s="2"/>
    </row>
    <row r="13" spans="1:19">
      <c r="A13" s="7"/>
      <c r="B13" s="7"/>
      <c r="C13" s="7"/>
      <c r="D13" s="7"/>
      <c r="E13" s="7"/>
      <c r="F13" s="7"/>
      <c r="G13" s="7"/>
      <c r="H13" s="7"/>
      <c r="I13" s="7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>
      <c r="A14" s="7"/>
      <c r="B14" s="7"/>
      <c r="C14" s="7"/>
      <c r="D14" s="7"/>
      <c r="E14" s="7"/>
      <c r="F14" s="7"/>
      <c r="G14" s="7"/>
      <c r="H14" s="7"/>
      <c r="I14" s="7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>
      <c r="A15" s="47" t="s">
        <v>6</v>
      </c>
      <c r="B15" s="47"/>
      <c r="C15" s="47"/>
      <c r="D15" s="47"/>
      <c r="E15" s="47"/>
      <c r="F15" s="7"/>
      <c r="G15" s="2"/>
      <c r="H15" s="2"/>
      <c r="I15" s="2"/>
      <c r="J15" s="2"/>
      <c r="K15" s="2"/>
      <c r="O15" s="2"/>
    </row>
    <row r="16" spans="1:19">
      <c r="A16" s="6">
        <f>J11</f>
        <v>239.54157258409174</v>
      </c>
      <c r="B16" s="11">
        <v>1</v>
      </c>
      <c r="C16" s="11">
        <v>2</v>
      </c>
      <c r="D16" s="11">
        <v>3</v>
      </c>
      <c r="E16" s="11">
        <v>4</v>
      </c>
      <c r="F16" s="11">
        <v>5</v>
      </c>
      <c r="G16" s="11">
        <v>6</v>
      </c>
      <c r="H16" s="11">
        <v>7</v>
      </c>
      <c r="I16" s="11">
        <v>8</v>
      </c>
      <c r="J16" s="11">
        <v>9</v>
      </c>
      <c r="K16" s="11">
        <v>10</v>
      </c>
      <c r="O16" s="2"/>
    </row>
    <row r="17" spans="1:22">
      <c r="A17" s="11">
        <v>1</v>
      </c>
      <c r="B17" s="4">
        <f t="dataTable" ref="B17:K26" dt2D="1" dtr="1" r1="C11" r2="D11"/>
        <v>2447.7849021929574</v>
      </c>
      <c r="C17" s="4">
        <v>239.54157258409174</v>
      </c>
      <c r="D17" s="4">
        <v>0.43945881915200186</v>
      </c>
      <c r="E17" s="4">
        <v>3.9154265912838468</v>
      </c>
      <c r="F17" s="6">
        <v>3.207011626285191E-2</v>
      </c>
      <c r="G17" s="4">
        <v>4.4613672717062534E-2</v>
      </c>
      <c r="H17" s="4">
        <v>0.89071461471620428</v>
      </c>
      <c r="I17" s="4">
        <v>0.62995317521652561</v>
      </c>
      <c r="J17" s="4">
        <v>3.0923983540506348</v>
      </c>
      <c r="K17" s="4">
        <v>46.842610840827689</v>
      </c>
      <c r="O17" s="2"/>
    </row>
    <row r="18" spans="1:22">
      <c r="A18" s="11">
        <v>2</v>
      </c>
      <c r="B18" s="4">
        <v>239.54157258409174</v>
      </c>
      <c r="C18" s="4">
        <v>40.133585809760945</v>
      </c>
      <c r="D18" s="4">
        <v>2.0627086238432213</v>
      </c>
      <c r="E18" s="4">
        <v>0.19968038153403395</v>
      </c>
      <c r="F18" s="6">
        <v>0.30385948548016867</v>
      </c>
      <c r="G18" s="4">
        <v>1.0948244176627177E-2</v>
      </c>
      <c r="H18" s="10">
        <v>4.4406872232066394E-2</v>
      </c>
      <c r="I18" s="4">
        <v>1.7507785930615629E-5</v>
      </c>
      <c r="J18" s="4">
        <v>1.2760615587124429</v>
      </c>
      <c r="K18" s="4">
        <v>0.8869665261145947</v>
      </c>
    </row>
    <row r="19" spans="1:22">
      <c r="A19" s="11">
        <v>3</v>
      </c>
      <c r="B19" s="4">
        <v>0.43945881915200186</v>
      </c>
      <c r="C19" s="4">
        <v>2.0627086238432213</v>
      </c>
      <c r="D19" s="4">
        <v>13.883471677585977</v>
      </c>
      <c r="E19" s="4">
        <v>0.25007390056740242</v>
      </c>
      <c r="F19" s="6">
        <v>1.4179213880667239</v>
      </c>
      <c r="G19" s="4">
        <v>1.7571439460333271</v>
      </c>
      <c r="H19" s="4">
        <v>33.077032882211213</v>
      </c>
      <c r="I19" s="4">
        <v>1.0306066288668281</v>
      </c>
      <c r="J19" s="4">
        <v>0.21819221308291623</v>
      </c>
      <c r="K19" s="4">
        <v>3.4985348247729607E-2</v>
      </c>
    </row>
    <row r="20" spans="1:22">
      <c r="A20" s="11">
        <v>4</v>
      </c>
      <c r="B20" s="4">
        <v>3.9154265912838468</v>
      </c>
      <c r="C20" s="4">
        <v>0.19968038153403395</v>
      </c>
      <c r="D20" s="4">
        <v>0.25007390056740242</v>
      </c>
      <c r="E20" s="4">
        <v>291.9165025164848</v>
      </c>
      <c r="F20" s="6">
        <v>0.4665843089787845</v>
      </c>
      <c r="G20" s="4">
        <v>0.24932008232744421</v>
      </c>
      <c r="H20" s="4">
        <v>6.3000597063960235</v>
      </c>
      <c r="I20" s="4">
        <v>0.86865994494514609</v>
      </c>
      <c r="J20" s="4">
        <v>6.2915777508057538</v>
      </c>
      <c r="K20" s="4">
        <v>16.017774700522882</v>
      </c>
    </row>
    <row r="21" spans="1:22">
      <c r="A21" s="11">
        <v>5</v>
      </c>
      <c r="B21" s="6">
        <v>3.207011626285191E-2</v>
      </c>
      <c r="C21" s="6">
        <v>0.30385948548016867</v>
      </c>
      <c r="D21" s="6">
        <v>1.4179213880667239</v>
      </c>
      <c r="E21" s="6">
        <v>0.4665843089787845</v>
      </c>
      <c r="F21" s="6">
        <v>1.2671471505104401</v>
      </c>
      <c r="G21" s="4">
        <v>1.7367823523873023</v>
      </c>
      <c r="H21" s="4">
        <v>2.810094899161367</v>
      </c>
      <c r="I21" s="4">
        <v>1.9174370292309322</v>
      </c>
      <c r="J21" s="4">
        <v>0.79571983249883382</v>
      </c>
      <c r="K21" s="4">
        <v>2.7843321702808423</v>
      </c>
    </row>
    <row r="22" spans="1:22">
      <c r="A22" s="11">
        <v>6</v>
      </c>
      <c r="B22" s="6">
        <v>4.4613672717062534E-2</v>
      </c>
      <c r="C22" s="6">
        <v>1.0948244176627177E-2</v>
      </c>
      <c r="D22" s="6">
        <v>1.7571439460333271</v>
      </c>
      <c r="E22" s="6">
        <v>0.24932008232744421</v>
      </c>
      <c r="F22" s="6">
        <v>1.7367823523873023</v>
      </c>
      <c r="G22" s="4">
        <v>3.4748161384941549</v>
      </c>
      <c r="H22" s="4">
        <v>7.0730070853812519</v>
      </c>
      <c r="I22" s="4">
        <v>4.439771824070708</v>
      </c>
      <c r="J22" s="4">
        <v>0.61579995666927445</v>
      </c>
      <c r="K22" s="4">
        <v>10.419093923994804</v>
      </c>
    </row>
    <row r="23" spans="1:22">
      <c r="A23" s="11">
        <v>7</v>
      </c>
      <c r="B23" s="6">
        <v>0.89071461471620428</v>
      </c>
      <c r="C23" s="6">
        <v>4.4406872232066394E-2</v>
      </c>
      <c r="D23" s="6">
        <v>33.077032882211213</v>
      </c>
      <c r="E23" s="6">
        <v>6.3000597063960235</v>
      </c>
      <c r="F23" s="6">
        <v>2.810094899161367</v>
      </c>
      <c r="G23" s="4">
        <v>7.0730070853812519</v>
      </c>
      <c r="H23" s="4">
        <v>164.05969957148335</v>
      </c>
      <c r="I23" s="4">
        <v>5.6910940892967652</v>
      </c>
      <c r="J23" s="4">
        <v>4.1032825984070383E-2</v>
      </c>
      <c r="K23" s="4">
        <v>2.0700860963577474</v>
      </c>
    </row>
    <row r="24" spans="1:22">
      <c r="A24" s="11">
        <v>8</v>
      </c>
      <c r="B24" s="6">
        <v>0.62995317521652561</v>
      </c>
      <c r="C24" s="6">
        <v>1.7507785930615629E-5</v>
      </c>
      <c r="D24" s="6">
        <v>1.0306066288668281</v>
      </c>
      <c r="E24" s="6">
        <v>0.86865994494514609</v>
      </c>
      <c r="F24" s="6">
        <v>1.9174370292309322</v>
      </c>
      <c r="G24" s="4">
        <v>4.439771824070708</v>
      </c>
      <c r="H24" s="4">
        <v>5.6910940892967652</v>
      </c>
      <c r="I24" s="4">
        <v>6.4777012180412843</v>
      </c>
      <c r="J24" s="4">
        <v>0.69973130528330707</v>
      </c>
      <c r="K24" s="4">
        <v>22.19120224773491</v>
      </c>
    </row>
    <row r="25" spans="1:22">
      <c r="A25" s="11">
        <v>9</v>
      </c>
      <c r="B25" s="6">
        <v>3.0923983540506348</v>
      </c>
      <c r="C25" s="6">
        <v>1.2760615587124429</v>
      </c>
      <c r="D25" s="6">
        <v>0.21819221308291623</v>
      </c>
      <c r="E25" s="6">
        <v>6.2915777508057538</v>
      </c>
      <c r="F25" s="6">
        <v>0.79571983249883382</v>
      </c>
      <c r="G25" s="4">
        <v>0.61579995666927445</v>
      </c>
      <c r="H25" s="4">
        <v>4.1032825984070383E-2</v>
      </c>
      <c r="I25" s="4">
        <v>0.69973130528330707</v>
      </c>
      <c r="J25" s="4">
        <v>1.5692043013622086</v>
      </c>
      <c r="K25" s="4">
        <v>1.1238461863856906</v>
      </c>
    </row>
    <row r="26" spans="1:22">
      <c r="A26" s="11">
        <v>10</v>
      </c>
      <c r="B26" s="6">
        <v>46.842610840827689</v>
      </c>
      <c r="C26" s="6">
        <v>0.8869665261145947</v>
      </c>
      <c r="D26" s="6">
        <v>3.4985348247729607E-2</v>
      </c>
      <c r="E26" s="6">
        <v>16.017774700522882</v>
      </c>
      <c r="F26" s="6">
        <v>2.7843321702808423</v>
      </c>
      <c r="G26" s="4">
        <v>10.419093923994804</v>
      </c>
      <c r="H26" s="4">
        <v>2.0700860963577474</v>
      </c>
      <c r="I26" s="4">
        <v>22.19120224773491</v>
      </c>
      <c r="J26" s="4">
        <v>1.1238461863856906</v>
      </c>
      <c r="K26" s="4">
        <v>180.54970153515461</v>
      </c>
      <c r="O26" s="2"/>
    </row>
    <row r="27" spans="1:22">
      <c r="A27" s="7"/>
      <c r="B27" s="7"/>
      <c r="C27" s="7"/>
      <c r="D27" s="7"/>
      <c r="E27" s="7"/>
      <c r="F27" s="7"/>
      <c r="G27" s="7"/>
      <c r="H27" s="7"/>
      <c r="I27" s="7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22">
      <c r="A28" s="7"/>
      <c r="B28" s="7"/>
      <c r="C28" s="7"/>
      <c r="D28" s="7"/>
      <c r="E28" s="7"/>
      <c r="F28" s="7"/>
      <c r="G28" s="7"/>
      <c r="H28" s="7"/>
      <c r="I28" s="7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22">
      <c r="A29" s="5"/>
      <c r="B29" s="5"/>
      <c r="C29" s="5"/>
      <c r="D29" s="5"/>
      <c r="E29" s="5"/>
      <c r="F29" s="5"/>
      <c r="G29" s="5"/>
      <c r="H29" s="5"/>
      <c r="I29" s="5"/>
      <c r="J29" s="12"/>
      <c r="K29" s="12"/>
      <c r="L29" s="12"/>
      <c r="M29" s="12"/>
      <c r="N29" s="12"/>
      <c r="O29" s="12"/>
      <c r="P29" s="12"/>
      <c r="Q29" s="12"/>
      <c r="R29" s="12"/>
      <c r="S29" s="5"/>
      <c r="T29" s="5"/>
      <c r="U29" s="5"/>
      <c r="V29" s="5"/>
    </row>
    <row r="30" spans="1:2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s="7" customFormat="1"/>
    <row r="32" spans="1:22" s="7" customFormat="1"/>
    <row r="33" spans="1:22" s="7" customFormat="1"/>
    <row r="34" spans="1:22" s="7" customFormat="1">
      <c r="A34" s="48" t="s">
        <v>21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</row>
    <row r="35" spans="1:22" s="7" customFormat="1">
      <c r="A35" s="4">
        <f t="shared" ref="A35:J35" si="0">B17</f>
        <v>2447.7849021929574</v>
      </c>
      <c r="B35" s="4">
        <f t="shared" si="0"/>
        <v>239.54157258409174</v>
      </c>
      <c r="C35" s="4">
        <f t="shared" si="0"/>
        <v>0.43945881915200186</v>
      </c>
      <c r="D35" s="4">
        <f t="shared" si="0"/>
        <v>3.9154265912838468</v>
      </c>
      <c r="E35" s="4">
        <f t="shared" si="0"/>
        <v>3.207011626285191E-2</v>
      </c>
      <c r="F35" s="4">
        <f t="shared" si="0"/>
        <v>4.4613672717062534E-2</v>
      </c>
      <c r="G35" s="4">
        <f t="shared" si="0"/>
        <v>0.89071461471620428</v>
      </c>
      <c r="H35" s="4">
        <f t="shared" si="0"/>
        <v>0.62995317521652561</v>
      </c>
      <c r="I35" s="4">
        <f t="shared" si="0"/>
        <v>3.0923983540506348</v>
      </c>
      <c r="J35" s="4">
        <f t="shared" si="0"/>
        <v>46.842610840827689</v>
      </c>
      <c r="K35" s="4">
        <v>-1</v>
      </c>
    </row>
    <row r="36" spans="1:22" s="7" customFormat="1">
      <c r="A36" s="4">
        <f t="shared" ref="A36:J36" si="1">B18</f>
        <v>239.54157258409174</v>
      </c>
      <c r="B36" s="4">
        <f t="shared" si="1"/>
        <v>40.133585809760945</v>
      </c>
      <c r="C36" s="4">
        <f t="shared" si="1"/>
        <v>2.0627086238432213</v>
      </c>
      <c r="D36" s="4">
        <f t="shared" si="1"/>
        <v>0.19968038153403395</v>
      </c>
      <c r="E36" s="4">
        <f t="shared" si="1"/>
        <v>0.30385948548016867</v>
      </c>
      <c r="F36" s="4">
        <f t="shared" si="1"/>
        <v>1.0948244176627177E-2</v>
      </c>
      <c r="G36" s="4">
        <f t="shared" si="1"/>
        <v>4.4406872232066394E-2</v>
      </c>
      <c r="H36" s="4">
        <f t="shared" si="1"/>
        <v>1.7507785930615629E-5</v>
      </c>
      <c r="I36" s="4">
        <f t="shared" si="1"/>
        <v>1.2760615587124429</v>
      </c>
      <c r="J36" s="4">
        <f t="shared" si="1"/>
        <v>0.8869665261145947</v>
      </c>
      <c r="K36" s="6">
        <v>-1</v>
      </c>
    </row>
    <row r="37" spans="1:22" s="7" customFormat="1">
      <c r="A37" s="4">
        <f t="shared" ref="A37:J37" si="2">B19</f>
        <v>0.43945881915200186</v>
      </c>
      <c r="B37" s="4">
        <f t="shared" si="2"/>
        <v>2.0627086238432213</v>
      </c>
      <c r="C37" s="4">
        <f t="shared" si="2"/>
        <v>13.883471677585977</v>
      </c>
      <c r="D37" s="4">
        <f t="shared" si="2"/>
        <v>0.25007390056740242</v>
      </c>
      <c r="E37" s="4">
        <f t="shared" si="2"/>
        <v>1.4179213880667239</v>
      </c>
      <c r="F37" s="4">
        <f t="shared" si="2"/>
        <v>1.7571439460333271</v>
      </c>
      <c r="G37" s="4">
        <f t="shared" si="2"/>
        <v>33.077032882211213</v>
      </c>
      <c r="H37" s="4">
        <f t="shared" si="2"/>
        <v>1.0306066288668281</v>
      </c>
      <c r="I37" s="4">
        <f t="shared" si="2"/>
        <v>0.21819221308291623</v>
      </c>
      <c r="J37" s="4">
        <f t="shared" si="2"/>
        <v>3.4985348247729607E-2</v>
      </c>
      <c r="K37" s="4">
        <v>-1</v>
      </c>
    </row>
    <row r="38" spans="1:22" s="7" customFormat="1">
      <c r="A38" s="4">
        <f t="shared" ref="A38:J38" si="3">B20</f>
        <v>3.9154265912838468</v>
      </c>
      <c r="B38" s="4">
        <f t="shared" si="3"/>
        <v>0.19968038153403395</v>
      </c>
      <c r="C38" s="4">
        <f t="shared" si="3"/>
        <v>0.25007390056740242</v>
      </c>
      <c r="D38" s="4">
        <f t="shared" si="3"/>
        <v>291.9165025164848</v>
      </c>
      <c r="E38" s="4">
        <f t="shared" si="3"/>
        <v>0.4665843089787845</v>
      </c>
      <c r="F38" s="4">
        <f t="shared" si="3"/>
        <v>0.24932008232744421</v>
      </c>
      <c r="G38" s="4">
        <f t="shared" si="3"/>
        <v>6.3000597063960235</v>
      </c>
      <c r="H38" s="4">
        <f t="shared" si="3"/>
        <v>0.86865994494514609</v>
      </c>
      <c r="I38" s="4">
        <f t="shared" si="3"/>
        <v>6.2915777508057538</v>
      </c>
      <c r="J38" s="4">
        <f t="shared" si="3"/>
        <v>16.017774700522882</v>
      </c>
      <c r="K38" s="6">
        <v>-1</v>
      </c>
    </row>
    <row r="39" spans="1:22">
      <c r="A39" s="4">
        <f t="shared" ref="A39:J39" si="4">B21</f>
        <v>3.207011626285191E-2</v>
      </c>
      <c r="B39" s="4">
        <f t="shared" si="4"/>
        <v>0.30385948548016867</v>
      </c>
      <c r="C39" s="4">
        <f t="shared" si="4"/>
        <v>1.4179213880667239</v>
      </c>
      <c r="D39" s="4">
        <f t="shared" si="4"/>
        <v>0.4665843089787845</v>
      </c>
      <c r="E39" s="4">
        <f t="shared" si="4"/>
        <v>1.2671471505104401</v>
      </c>
      <c r="F39" s="4">
        <f t="shared" si="4"/>
        <v>1.7367823523873023</v>
      </c>
      <c r="G39" s="4">
        <f t="shared" si="4"/>
        <v>2.810094899161367</v>
      </c>
      <c r="H39" s="4">
        <f t="shared" si="4"/>
        <v>1.9174370292309322</v>
      </c>
      <c r="I39" s="4">
        <f t="shared" si="4"/>
        <v>0.79571983249883382</v>
      </c>
      <c r="J39" s="4">
        <f t="shared" si="4"/>
        <v>2.7843321702808423</v>
      </c>
      <c r="K39" s="4">
        <v>-1</v>
      </c>
    </row>
    <row r="40" spans="1:22">
      <c r="A40" s="4">
        <f t="shared" ref="A40:J40" si="5">B22</f>
        <v>4.4613672717062534E-2</v>
      </c>
      <c r="B40" s="4">
        <f t="shared" si="5"/>
        <v>1.0948244176627177E-2</v>
      </c>
      <c r="C40" s="4">
        <f t="shared" si="5"/>
        <v>1.7571439460333271</v>
      </c>
      <c r="D40" s="4">
        <f t="shared" si="5"/>
        <v>0.24932008232744421</v>
      </c>
      <c r="E40" s="4">
        <f t="shared" si="5"/>
        <v>1.7367823523873023</v>
      </c>
      <c r="F40" s="4">
        <f t="shared" si="5"/>
        <v>3.4748161384941549</v>
      </c>
      <c r="G40" s="4">
        <f t="shared" si="5"/>
        <v>7.0730070853812519</v>
      </c>
      <c r="H40" s="4">
        <f t="shared" si="5"/>
        <v>4.439771824070708</v>
      </c>
      <c r="I40" s="4">
        <f t="shared" si="5"/>
        <v>0.61579995666927445</v>
      </c>
      <c r="J40" s="4">
        <f t="shared" si="5"/>
        <v>10.419093923994804</v>
      </c>
      <c r="K40" s="6">
        <v>-1</v>
      </c>
    </row>
    <row r="41" spans="1:22">
      <c r="A41" s="4">
        <f t="shared" ref="A41:J41" si="6">B23</f>
        <v>0.89071461471620428</v>
      </c>
      <c r="B41" s="4">
        <f t="shared" si="6"/>
        <v>4.4406872232066394E-2</v>
      </c>
      <c r="C41" s="4">
        <f t="shared" si="6"/>
        <v>33.077032882211213</v>
      </c>
      <c r="D41" s="4">
        <f t="shared" si="6"/>
        <v>6.3000597063960235</v>
      </c>
      <c r="E41" s="4">
        <f t="shared" si="6"/>
        <v>2.810094899161367</v>
      </c>
      <c r="F41" s="4">
        <f t="shared" si="6"/>
        <v>7.0730070853812519</v>
      </c>
      <c r="G41" s="4">
        <f t="shared" si="6"/>
        <v>164.05969957148335</v>
      </c>
      <c r="H41" s="4">
        <f t="shared" si="6"/>
        <v>5.6910940892967652</v>
      </c>
      <c r="I41" s="4">
        <f t="shared" si="6"/>
        <v>4.1032825984070383E-2</v>
      </c>
      <c r="J41" s="4">
        <f t="shared" si="6"/>
        <v>2.0700860963577474</v>
      </c>
      <c r="K41" s="4">
        <v>-1</v>
      </c>
    </row>
    <row r="42" spans="1:22">
      <c r="A42" s="4">
        <f t="shared" ref="A42:J42" si="7">B24</f>
        <v>0.62995317521652561</v>
      </c>
      <c r="B42" s="4">
        <f t="shared" si="7"/>
        <v>1.7507785930615629E-5</v>
      </c>
      <c r="C42" s="4">
        <f t="shared" si="7"/>
        <v>1.0306066288668281</v>
      </c>
      <c r="D42" s="4">
        <f t="shared" si="7"/>
        <v>0.86865994494514609</v>
      </c>
      <c r="E42" s="4">
        <f t="shared" si="7"/>
        <v>1.9174370292309322</v>
      </c>
      <c r="F42" s="4">
        <f t="shared" si="7"/>
        <v>4.439771824070708</v>
      </c>
      <c r="G42" s="4">
        <f t="shared" si="7"/>
        <v>5.6910940892967652</v>
      </c>
      <c r="H42" s="4">
        <f t="shared" si="7"/>
        <v>6.4777012180412843</v>
      </c>
      <c r="I42" s="4">
        <f t="shared" si="7"/>
        <v>0.69973130528330707</v>
      </c>
      <c r="J42" s="4">
        <f t="shared" si="7"/>
        <v>22.19120224773491</v>
      </c>
      <c r="K42" s="6">
        <v>-1</v>
      </c>
    </row>
    <row r="43" spans="1:22">
      <c r="A43" s="4">
        <f t="shared" ref="A43:J43" si="8">B25</f>
        <v>3.0923983540506348</v>
      </c>
      <c r="B43" s="4">
        <f t="shared" si="8"/>
        <v>1.2760615587124429</v>
      </c>
      <c r="C43" s="4">
        <f t="shared" si="8"/>
        <v>0.21819221308291623</v>
      </c>
      <c r="D43" s="4">
        <f t="shared" si="8"/>
        <v>6.2915777508057538</v>
      </c>
      <c r="E43" s="4">
        <f t="shared" si="8"/>
        <v>0.79571983249883382</v>
      </c>
      <c r="F43" s="4">
        <f t="shared" si="8"/>
        <v>0.61579995666927445</v>
      </c>
      <c r="G43" s="4">
        <f t="shared" si="8"/>
        <v>4.1032825984070383E-2</v>
      </c>
      <c r="H43" s="4">
        <f t="shared" si="8"/>
        <v>0.69973130528330707</v>
      </c>
      <c r="I43" s="4">
        <f t="shared" si="8"/>
        <v>1.5692043013622086</v>
      </c>
      <c r="J43" s="4">
        <f t="shared" si="8"/>
        <v>1.1238461863856906</v>
      </c>
      <c r="K43" s="4">
        <v>-1</v>
      </c>
    </row>
    <row r="44" spans="1:22">
      <c r="A44" s="4">
        <f t="shared" ref="A44:J44" si="9">B26</f>
        <v>46.842610840827689</v>
      </c>
      <c r="B44" s="4">
        <f t="shared" si="9"/>
        <v>0.8869665261145947</v>
      </c>
      <c r="C44" s="4">
        <f t="shared" si="9"/>
        <v>3.4985348247729607E-2</v>
      </c>
      <c r="D44" s="4">
        <f t="shared" si="9"/>
        <v>16.017774700522882</v>
      </c>
      <c r="E44" s="4">
        <f t="shared" si="9"/>
        <v>2.7843321702808423</v>
      </c>
      <c r="F44" s="4">
        <f t="shared" si="9"/>
        <v>10.419093923994804</v>
      </c>
      <c r="G44" s="4">
        <f t="shared" si="9"/>
        <v>2.0700860963577474</v>
      </c>
      <c r="H44" s="4">
        <f t="shared" si="9"/>
        <v>22.19120224773491</v>
      </c>
      <c r="I44" s="4">
        <f t="shared" si="9"/>
        <v>1.1238461863856906</v>
      </c>
      <c r="J44" s="4">
        <f t="shared" si="9"/>
        <v>180.54970153515461</v>
      </c>
      <c r="K44" s="6">
        <v>-1</v>
      </c>
    </row>
    <row r="45" spans="1:22">
      <c r="A45" s="2"/>
      <c r="B45" s="2"/>
      <c r="C45" s="2"/>
      <c r="D45" s="2"/>
      <c r="E45" s="2"/>
      <c r="F45" s="2"/>
      <c r="G45" s="2"/>
      <c r="H45" s="2"/>
      <c r="I45" s="2"/>
      <c r="J45" s="2"/>
      <c r="K45" s="7"/>
    </row>
    <row r="46" spans="1:22">
      <c r="A46" s="5"/>
      <c r="B46" s="5"/>
      <c r="C46" s="5"/>
      <c r="D46" s="5"/>
      <c r="E46" s="5"/>
      <c r="F46" s="5"/>
      <c r="G46" s="5"/>
      <c r="H46" s="5"/>
      <c r="I46" s="5"/>
      <c r="J46" s="12"/>
      <c r="K46" s="12"/>
      <c r="L46" s="12"/>
      <c r="M46" s="12"/>
      <c r="N46" s="12"/>
      <c r="O46" s="12"/>
      <c r="P46" s="12"/>
      <c r="Q46" s="12"/>
      <c r="R46" s="12"/>
      <c r="S46" s="5"/>
      <c r="T46" s="5"/>
      <c r="U46" s="5"/>
      <c r="V46" s="5"/>
    </row>
    <row r="47" spans="1:2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9" spans="1:13" s="7" customFormat="1">
      <c r="E49" s="11" t="s">
        <v>22</v>
      </c>
      <c r="F49" s="11" t="s">
        <v>23</v>
      </c>
      <c r="G49" s="11" t="s">
        <v>15</v>
      </c>
    </row>
    <row r="50" spans="1:13" s="7" customFormat="1">
      <c r="D50" s="11" t="s">
        <v>1</v>
      </c>
      <c r="E50" s="4">
        <v>8</v>
      </c>
      <c r="F50" s="4">
        <v>8</v>
      </c>
      <c r="G50" s="4">
        <f>IF(E50=F50,INDEX(Input!$D$7:$D$16,E50,1),0)</f>
        <v>-1</v>
      </c>
    </row>
    <row r="51" spans="1:13" s="7" customFormat="1"/>
    <row r="52" spans="1:13" s="7" customFormat="1">
      <c r="A52" s="47" t="s">
        <v>25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</row>
    <row r="53" spans="1:13" s="7" customFormat="1">
      <c r="A53" s="4">
        <f>G50</f>
        <v>-1</v>
      </c>
      <c r="B53" s="11">
        <v>1</v>
      </c>
      <c r="C53" s="11">
        <v>2</v>
      </c>
      <c r="D53" s="11">
        <v>3</v>
      </c>
      <c r="E53" s="11">
        <v>4</v>
      </c>
      <c r="F53" s="11">
        <v>5</v>
      </c>
      <c r="G53" s="11">
        <v>6</v>
      </c>
      <c r="H53" s="11">
        <v>7</v>
      </c>
      <c r="I53" s="11">
        <v>8</v>
      </c>
      <c r="J53" s="11">
        <v>9</v>
      </c>
      <c r="K53" s="11">
        <v>10</v>
      </c>
      <c r="L53" s="8"/>
      <c r="M53" s="8"/>
    </row>
    <row r="54" spans="1:13" s="7" customFormat="1">
      <c r="A54" s="11">
        <v>1</v>
      </c>
      <c r="B54" s="4">
        <f t="dataTable" ref="B54:K63" dt2D="1" dtr="1" r1="E50" r2="F50"/>
        <v>1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</row>
    <row r="55" spans="1:13" s="7" customFormat="1">
      <c r="A55" s="11">
        <v>2</v>
      </c>
      <c r="B55" s="4">
        <v>0</v>
      </c>
      <c r="C55" s="4">
        <v>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</row>
    <row r="56" spans="1:13" s="7" customFormat="1">
      <c r="A56" s="11">
        <v>3</v>
      </c>
      <c r="B56" s="4">
        <v>0</v>
      </c>
      <c r="C56" s="4">
        <v>0</v>
      </c>
      <c r="D56" s="4">
        <v>1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</row>
    <row r="57" spans="1:13" s="7" customFormat="1">
      <c r="A57" s="11">
        <v>4</v>
      </c>
      <c r="B57" s="4">
        <v>0</v>
      </c>
      <c r="C57" s="4">
        <v>0</v>
      </c>
      <c r="D57" s="4">
        <v>0</v>
      </c>
      <c r="E57" s="4">
        <v>1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</row>
    <row r="58" spans="1:13" s="7" customFormat="1">
      <c r="A58" s="11">
        <v>5</v>
      </c>
      <c r="B58" s="4">
        <v>0</v>
      </c>
      <c r="C58" s="4">
        <v>0</v>
      </c>
      <c r="D58" s="4">
        <v>0</v>
      </c>
      <c r="E58" s="4">
        <v>0</v>
      </c>
      <c r="F58" s="4">
        <v>1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</row>
    <row r="59" spans="1:13" s="7" customFormat="1">
      <c r="A59" s="11">
        <v>6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-1</v>
      </c>
      <c r="H59" s="4">
        <v>0</v>
      </c>
      <c r="I59" s="4">
        <v>0</v>
      </c>
      <c r="J59" s="4">
        <v>0</v>
      </c>
      <c r="K59" s="4">
        <v>0</v>
      </c>
    </row>
    <row r="60" spans="1:13" s="7" customFormat="1">
      <c r="A60" s="11">
        <v>7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-1</v>
      </c>
      <c r="I60" s="4">
        <v>0</v>
      </c>
      <c r="J60" s="4">
        <v>0</v>
      </c>
      <c r="K60" s="4">
        <v>0</v>
      </c>
    </row>
    <row r="61" spans="1:13" s="7" customFormat="1">
      <c r="A61" s="11">
        <v>8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-1</v>
      </c>
      <c r="J61" s="4">
        <v>0</v>
      </c>
      <c r="K61" s="4">
        <v>0</v>
      </c>
    </row>
    <row r="62" spans="1:13" s="7" customFormat="1">
      <c r="A62" s="11">
        <v>9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-1</v>
      </c>
      <c r="K62" s="4">
        <v>0</v>
      </c>
    </row>
    <row r="63" spans="1:13" s="7" customFormat="1">
      <c r="A63" s="11">
        <v>10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-1</v>
      </c>
    </row>
    <row r="66" spans="1:22">
      <c r="A66" s="5"/>
      <c r="B66" s="5"/>
      <c r="C66" s="5"/>
      <c r="D66" s="5"/>
      <c r="E66" s="5"/>
      <c r="F66" s="5"/>
      <c r="G66" s="5"/>
      <c r="H66" s="5"/>
      <c r="I66" s="5"/>
      <c r="J66" s="12"/>
      <c r="K66" s="12"/>
      <c r="L66" s="12"/>
      <c r="M66" s="12"/>
      <c r="N66" s="12"/>
      <c r="O66" s="12"/>
      <c r="P66" s="12"/>
      <c r="Q66" s="12"/>
      <c r="R66" s="12"/>
      <c r="S66" s="5"/>
      <c r="T66" s="5"/>
      <c r="U66" s="5"/>
      <c r="V66" s="5"/>
    </row>
    <row r="69" spans="1:22">
      <c r="A69" s="14" t="s">
        <v>19</v>
      </c>
    </row>
    <row r="70" spans="1:22">
      <c r="A70" s="4">
        <f t="array" ref="A70:K79">MMULT(B54:K63,A35:K44)</f>
        <v>2447.7849021929574</v>
      </c>
      <c r="B70" s="4">
        <v>239.54157258409174</v>
      </c>
      <c r="C70" s="4">
        <v>0.43945881915200186</v>
      </c>
      <c r="D70" s="4">
        <v>3.9154265912838468</v>
      </c>
      <c r="E70" s="4">
        <v>3.207011626285191E-2</v>
      </c>
      <c r="F70" s="4">
        <v>4.4613672717062534E-2</v>
      </c>
      <c r="G70" s="4">
        <v>0.89071461471620428</v>
      </c>
      <c r="H70" s="4">
        <v>0.62995317521652561</v>
      </c>
      <c r="I70" s="4">
        <v>3.0923983540506348</v>
      </c>
      <c r="J70" s="4">
        <v>46.842610840827689</v>
      </c>
      <c r="K70" s="4">
        <v>-1</v>
      </c>
    </row>
    <row r="71" spans="1:22">
      <c r="A71" s="4">
        <v>239.54157258409174</v>
      </c>
      <c r="B71" s="4">
        <v>40.133585809760945</v>
      </c>
      <c r="C71" s="4">
        <v>2.0627086238432213</v>
      </c>
      <c r="D71" s="4">
        <v>0.19968038153403395</v>
      </c>
      <c r="E71" s="4">
        <v>0.30385948548016867</v>
      </c>
      <c r="F71" s="4">
        <v>1.0948244176627177E-2</v>
      </c>
      <c r="G71" s="4">
        <v>4.4406872232066394E-2</v>
      </c>
      <c r="H71" s="4">
        <v>1.7507785930615629E-5</v>
      </c>
      <c r="I71" s="4">
        <v>1.2760615587124429</v>
      </c>
      <c r="J71" s="4">
        <v>0.8869665261145947</v>
      </c>
      <c r="K71" s="4">
        <v>-1</v>
      </c>
    </row>
    <row r="72" spans="1:22">
      <c r="A72" s="4">
        <v>0.43945881915200186</v>
      </c>
      <c r="B72" s="4">
        <v>2.0627086238432213</v>
      </c>
      <c r="C72" s="4">
        <v>13.883471677585977</v>
      </c>
      <c r="D72" s="4">
        <v>0.25007390056740242</v>
      </c>
      <c r="E72" s="4">
        <v>1.4179213880667239</v>
      </c>
      <c r="F72" s="4">
        <v>1.7571439460333271</v>
      </c>
      <c r="G72" s="4">
        <v>33.077032882211213</v>
      </c>
      <c r="H72" s="4">
        <v>1.0306066288668281</v>
      </c>
      <c r="I72" s="4">
        <v>0.21819221308291623</v>
      </c>
      <c r="J72" s="4">
        <v>3.4985348247729607E-2</v>
      </c>
      <c r="K72" s="4">
        <v>-1</v>
      </c>
    </row>
    <row r="73" spans="1:22">
      <c r="A73" s="4">
        <v>3.9154265912838468</v>
      </c>
      <c r="B73" s="4">
        <v>0.19968038153403395</v>
      </c>
      <c r="C73" s="4">
        <v>0.25007390056740242</v>
      </c>
      <c r="D73" s="4">
        <v>291.9165025164848</v>
      </c>
      <c r="E73" s="4">
        <v>0.4665843089787845</v>
      </c>
      <c r="F73" s="4">
        <v>0.24932008232744421</v>
      </c>
      <c r="G73" s="4">
        <v>6.3000597063960235</v>
      </c>
      <c r="H73" s="4">
        <v>0.86865994494514609</v>
      </c>
      <c r="I73" s="4">
        <v>6.2915777508057538</v>
      </c>
      <c r="J73" s="4">
        <v>16.017774700522882</v>
      </c>
      <c r="K73" s="4">
        <v>-1</v>
      </c>
    </row>
    <row r="74" spans="1:22">
      <c r="A74" s="4">
        <v>3.207011626285191E-2</v>
      </c>
      <c r="B74" s="4">
        <v>0.30385948548016867</v>
      </c>
      <c r="C74" s="4">
        <v>1.4179213880667239</v>
      </c>
      <c r="D74" s="4">
        <v>0.4665843089787845</v>
      </c>
      <c r="E74" s="4">
        <v>1.2671471505104401</v>
      </c>
      <c r="F74" s="4">
        <v>1.7367823523873023</v>
      </c>
      <c r="G74" s="4">
        <v>2.810094899161367</v>
      </c>
      <c r="H74" s="4">
        <v>1.9174370292309322</v>
      </c>
      <c r="I74" s="4">
        <v>0.79571983249883382</v>
      </c>
      <c r="J74" s="4">
        <v>2.7843321702808423</v>
      </c>
      <c r="K74" s="4">
        <v>-1</v>
      </c>
    </row>
    <row r="75" spans="1:22">
      <c r="A75" s="4">
        <v>-4.4613672717062534E-2</v>
      </c>
      <c r="B75" s="4">
        <v>-1.0948244176627177E-2</v>
      </c>
      <c r="C75" s="4">
        <v>-1.7571439460333271</v>
      </c>
      <c r="D75" s="4">
        <v>-0.24932008232744421</v>
      </c>
      <c r="E75" s="4">
        <v>-1.7367823523873023</v>
      </c>
      <c r="F75" s="4">
        <v>-3.4748161384941549</v>
      </c>
      <c r="G75" s="4">
        <v>-7.0730070853812519</v>
      </c>
      <c r="H75" s="4">
        <v>-4.439771824070708</v>
      </c>
      <c r="I75" s="4">
        <v>-0.61579995666927445</v>
      </c>
      <c r="J75" s="4">
        <v>-10.419093923994804</v>
      </c>
      <c r="K75" s="4">
        <v>1</v>
      </c>
    </row>
    <row r="76" spans="1:22">
      <c r="A76" s="4">
        <v>-0.89071461471620428</v>
      </c>
      <c r="B76" s="4">
        <v>-4.4406872232066394E-2</v>
      </c>
      <c r="C76" s="4">
        <v>-33.077032882211213</v>
      </c>
      <c r="D76" s="4">
        <v>-6.3000597063960235</v>
      </c>
      <c r="E76" s="4">
        <v>-2.810094899161367</v>
      </c>
      <c r="F76" s="4">
        <v>-7.0730070853812519</v>
      </c>
      <c r="G76" s="4">
        <v>-164.05969957148335</v>
      </c>
      <c r="H76" s="4">
        <v>-5.6910940892967652</v>
      </c>
      <c r="I76" s="4">
        <v>-4.1032825984070383E-2</v>
      </c>
      <c r="J76" s="4">
        <v>-2.0700860963577474</v>
      </c>
      <c r="K76" s="4">
        <v>1</v>
      </c>
    </row>
    <row r="77" spans="1:22">
      <c r="A77" s="4">
        <v>-0.62995317521652561</v>
      </c>
      <c r="B77" s="4">
        <v>-1.7507785930615629E-5</v>
      </c>
      <c r="C77" s="4">
        <v>-1.0306066288668281</v>
      </c>
      <c r="D77" s="4">
        <v>-0.86865994494514609</v>
      </c>
      <c r="E77" s="4">
        <v>-1.9174370292309322</v>
      </c>
      <c r="F77" s="4">
        <v>-4.439771824070708</v>
      </c>
      <c r="G77" s="4">
        <v>-5.6910940892967652</v>
      </c>
      <c r="H77" s="4">
        <v>-6.4777012180412843</v>
      </c>
      <c r="I77" s="4">
        <v>-0.69973130528330707</v>
      </c>
      <c r="J77" s="4">
        <v>-22.19120224773491</v>
      </c>
      <c r="K77" s="4">
        <v>1</v>
      </c>
    </row>
    <row r="78" spans="1:22">
      <c r="A78" s="4">
        <v>-3.0923983540506348</v>
      </c>
      <c r="B78" s="4">
        <v>-1.2760615587124429</v>
      </c>
      <c r="C78" s="4">
        <v>-0.21819221308291623</v>
      </c>
      <c r="D78" s="4">
        <v>-6.2915777508057538</v>
      </c>
      <c r="E78" s="4">
        <v>-0.79571983249883382</v>
      </c>
      <c r="F78" s="4">
        <v>-0.61579995666927445</v>
      </c>
      <c r="G78" s="4">
        <v>-4.1032825984070383E-2</v>
      </c>
      <c r="H78" s="4">
        <v>-0.69973130528330707</v>
      </c>
      <c r="I78" s="4">
        <v>-1.5692043013622086</v>
      </c>
      <c r="J78" s="4">
        <v>-1.1238461863856906</v>
      </c>
      <c r="K78" s="4">
        <v>1</v>
      </c>
    </row>
    <row r="79" spans="1:22">
      <c r="A79" s="4">
        <v>-46.842610840827689</v>
      </c>
      <c r="B79" s="4">
        <v>-0.8869665261145947</v>
      </c>
      <c r="C79" s="4">
        <v>-3.4985348247729607E-2</v>
      </c>
      <c r="D79" s="4">
        <v>-16.017774700522882</v>
      </c>
      <c r="E79" s="4">
        <v>-2.7843321702808423</v>
      </c>
      <c r="F79" s="4">
        <v>-10.419093923994804</v>
      </c>
      <c r="G79" s="4">
        <v>-2.0700860963577474</v>
      </c>
      <c r="H79" s="4">
        <v>-22.19120224773491</v>
      </c>
      <c r="I79" s="4">
        <v>-1.1238461863856906</v>
      </c>
      <c r="J79" s="4">
        <v>-180.54970153515461</v>
      </c>
      <c r="K79" s="4">
        <v>1</v>
      </c>
    </row>
    <row r="82" spans="1:24">
      <c r="A82" s="5"/>
      <c r="B82" s="5"/>
      <c r="C82" s="5"/>
      <c r="D82" s="5"/>
      <c r="E82" s="5"/>
      <c r="F82" s="5"/>
      <c r="G82" s="5"/>
      <c r="H82" s="5"/>
      <c r="I82" s="5"/>
      <c r="J82" s="12"/>
      <c r="K82" s="12"/>
      <c r="L82" s="12"/>
      <c r="M82" s="12"/>
      <c r="N82" s="12"/>
      <c r="O82" s="12"/>
      <c r="P82" s="12"/>
      <c r="Q82" s="12"/>
      <c r="R82" s="12"/>
      <c r="S82" s="5"/>
      <c r="T82" s="5"/>
      <c r="U82" s="5"/>
      <c r="V82" s="5"/>
    </row>
    <row r="83" spans="1:24"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7.25">
      <c r="A85" s="5" t="s">
        <v>30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>
      <c r="A86" s="4">
        <f t="array" ref="A86:J95">MMULT(A70:K79,TRANSPOSE(A70:K79))</f>
        <v>6051252.6024396569</v>
      </c>
      <c r="B86" s="4">
        <v>596008.13910318364</v>
      </c>
      <c r="C86" s="4">
        <v>1610.4343286235016</v>
      </c>
      <c r="D86" s="4">
        <v>11551.996690320741</v>
      </c>
      <c r="E86" s="4">
        <v>291.45280100611672</v>
      </c>
      <c r="F86" s="4">
        <v>-613.84508404781627</v>
      </c>
      <c r="G86" s="4">
        <v>-2478.3347882273852</v>
      </c>
      <c r="H86" s="4">
        <v>-2597.9152036479591</v>
      </c>
      <c r="I86" s="4">
        <v>-7958.9527251916552</v>
      </c>
      <c r="J86" s="4">
        <v>-123414.10493628474</v>
      </c>
      <c r="K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>
      <c r="A87" s="4">
        <v>596008.13910318364</v>
      </c>
      <c r="B87" s="4">
        <v>58998.673810272434</v>
      </c>
      <c r="C87" s="4">
        <v>219.96845144066711</v>
      </c>
      <c r="D87" s="4">
        <v>1028.3871182640057</v>
      </c>
      <c r="E87" s="4">
        <v>27.908890641179433</v>
      </c>
      <c r="F87" s="4">
        <v>-26.707616894148188</v>
      </c>
      <c r="G87" s="4">
        <v>-295.73691209329547</v>
      </c>
      <c r="H87" s="4">
        <v>-175.65980244785197</v>
      </c>
      <c r="I87" s="4">
        <v>-797.92684102812859</v>
      </c>
      <c r="J87" s="4">
        <v>-11423.248481456429</v>
      </c>
      <c r="K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>
      <c r="A88" s="4">
        <v>1610.4343286235016</v>
      </c>
      <c r="B88" s="4">
        <v>219.96845144066711</v>
      </c>
      <c r="C88" s="4">
        <v>1298.5603557392915</v>
      </c>
      <c r="D88" s="4">
        <v>291.92050414086015</v>
      </c>
      <c r="E88" s="4">
        <v>121.48846610584468</v>
      </c>
      <c r="F88" s="4">
        <v>-273.09679314501363</v>
      </c>
      <c r="G88" s="4">
        <v>-5911.250078166463</v>
      </c>
      <c r="H88" s="4">
        <v>-222.17210587501467</v>
      </c>
      <c r="I88" s="4">
        <v>-14.264165210917982</v>
      </c>
      <c r="J88" s="4">
        <v>-148.06662407338155</v>
      </c>
      <c r="K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>
      <c r="A89" s="4">
        <v>11551.996690320741</v>
      </c>
      <c r="B89" s="4">
        <v>1028.3871182640057</v>
      </c>
      <c r="C89" s="4">
        <v>291.92050414086015</v>
      </c>
      <c r="D89" s="4">
        <v>85568.555656835204</v>
      </c>
      <c r="E89" s="4">
        <v>207.74323837764544</v>
      </c>
      <c r="F89" s="4">
        <v>-295.25569808450882</v>
      </c>
      <c r="G89" s="4">
        <v>-2926.8799436418076</v>
      </c>
      <c r="H89" s="4">
        <v>-660.63925403217434</v>
      </c>
      <c r="I89" s="4">
        <v>-1879.2982250840573</v>
      </c>
      <c r="J89" s="4">
        <v>-7795.7377281839663</v>
      </c>
      <c r="K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>
      <c r="A90" s="4">
        <v>291.45280100611672</v>
      </c>
      <c r="B90" s="4">
        <v>27.908890641179433</v>
      </c>
      <c r="C90" s="4">
        <v>121.48846610584468</v>
      </c>
      <c r="D90" s="4">
        <v>207.74323837764544</v>
      </c>
      <c r="E90" s="4">
        <v>27.902509689657833</v>
      </c>
      <c r="F90" s="4">
        <v>-69.737363136146357</v>
      </c>
      <c r="G90" s="4">
        <v>-544.45937519522897</v>
      </c>
      <c r="H90" s="4">
        <v>-103.78498953728312</v>
      </c>
      <c r="I90" s="4">
        <v>-12.644457387298143</v>
      </c>
      <c r="J90" s="4">
        <v>-583.89084732354081</v>
      </c>
      <c r="K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>
      <c r="A91" s="4">
        <v>-613.84508404781627</v>
      </c>
      <c r="B91" s="4">
        <v>-26.707616894148188</v>
      </c>
      <c r="C91" s="4">
        <v>-273.09679314501363</v>
      </c>
      <c r="D91" s="4">
        <v>-295.25569808450882</v>
      </c>
      <c r="E91" s="4">
        <v>-69.737363136146357</v>
      </c>
      <c r="F91" s="4">
        <v>197.91831659360543</v>
      </c>
      <c r="G91" s="4">
        <v>1297.4462522729248</v>
      </c>
      <c r="H91" s="4">
        <v>322.46894404656774</v>
      </c>
      <c r="I91" s="4">
        <v>22.698377196140768</v>
      </c>
      <c r="J91" s="4">
        <v>2043.2167443129113</v>
      </c>
      <c r="K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>
      <c r="A92" s="4">
        <v>-2478.3347882273852</v>
      </c>
      <c r="B92" s="4">
        <v>-295.73691209329547</v>
      </c>
      <c r="C92" s="4">
        <v>-5911.250078166463</v>
      </c>
      <c r="D92" s="4">
        <v>-2926.8799436418076</v>
      </c>
      <c r="E92" s="4">
        <v>-544.45937519522897</v>
      </c>
      <c r="F92" s="4">
        <v>1297.4462522729248</v>
      </c>
      <c r="G92" s="4">
        <v>28145.760779220098</v>
      </c>
      <c r="H92" s="4">
        <v>1094.4246505556946</v>
      </c>
      <c r="I92" s="4">
        <v>70.362099545558323</v>
      </c>
      <c r="J92" s="4">
        <v>1066.0609611813063</v>
      </c>
      <c r="K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>
      <c r="A93" s="4">
        <v>-2597.9152036479591</v>
      </c>
      <c r="B93" s="4">
        <v>-175.65980244785197</v>
      </c>
      <c r="C93" s="4">
        <v>-222.17210587501467</v>
      </c>
      <c r="D93" s="4">
        <v>-660.63925403217434</v>
      </c>
      <c r="E93" s="4">
        <v>-103.78498953728312</v>
      </c>
      <c r="F93" s="4">
        <v>322.46894404656774</v>
      </c>
      <c r="G93" s="4">
        <v>1094.4246505556946</v>
      </c>
      <c r="H93" s="4">
        <v>593.88994584047691</v>
      </c>
      <c r="I93" s="4">
        <v>43.701645789034657</v>
      </c>
      <c r="J93" s="4">
        <v>4258.9862690968203</v>
      </c>
      <c r="K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>
      <c r="A94" s="4">
        <v>-7958.9527251916552</v>
      </c>
      <c r="B94" s="4">
        <v>-797.92684102812859</v>
      </c>
      <c r="C94" s="4">
        <v>-14.264165210917982</v>
      </c>
      <c r="D94" s="4">
        <v>-1879.2982250840573</v>
      </c>
      <c r="E94" s="4">
        <v>-12.644457387298143</v>
      </c>
      <c r="F94" s="4">
        <v>22.698377196140768</v>
      </c>
      <c r="G94" s="4">
        <v>70.362099545558323</v>
      </c>
      <c r="H94" s="4">
        <v>43.701645789034657</v>
      </c>
      <c r="I94" s="4">
        <v>57.051938738977597</v>
      </c>
      <c r="J94" s="4">
        <v>476.6906291106057</v>
      </c>
      <c r="K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>
      <c r="A95" s="4">
        <v>-123414.10493628474</v>
      </c>
      <c r="B95" s="4">
        <v>-11423.248481456429</v>
      </c>
      <c r="C95" s="4">
        <v>-148.06662407338155</v>
      </c>
      <c r="D95" s="4">
        <v>-7795.7377281839663</v>
      </c>
      <c r="E95" s="4">
        <v>-583.89084732354081</v>
      </c>
      <c r="F95" s="4">
        <v>2043.2167443129113</v>
      </c>
      <c r="G95" s="4">
        <v>1066.0609611813063</v>
      </c>
      <c r="H95" s="4">
        <v>4258.9862690968203</v>
      </c>
      <c r="I95" s="4">
        <v>476.6906291106057</v>
      </c>
      <c r="J95" s="4">
        <v>35665.089722496741</v>
      </c>
      <c r="K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>
      <c r="A98" s="5"/>
      <c r="B98" s="5"/>
      <c r="C98" s="5"/>
      <c r="D98" s="5"/>
      <c r="E98" s="5"/>
      <c r="F98" s="5"/>
      <c r="G98" s="5"/>
      <c r="H98" s="5"/>
      <c r="I98" s="5"/>
      <c r="J98" s="12"/>
      <c r="K98" s="12"/>
      <c r="L98" s="12"/>
      <c r="M98" s="12"/>
      <c r="N98" s="12"/>
      <c r="O98" s="12"/>
      <c r="P98" s="12"/>
      <c r="Q98" s="12"/>
      <c r="R98" s="12"/>
      <c r="S98" s="5"/>
      <c r="T98" s="5"/>
      <c r="U98" s="5"/>
      <c r="V98" s="5"/>
      <c r="W98" s="2"/>
      <c r="X98" s="2"/>
    </row>
    <row r="101" spans="1:24">
      <c r="B101" s="11" t="s">
        <v>22</v>
      </c>
      <c r="C101" s="11" t="s">
        <v>23</v>
      </c>
      <c r="D101" s="11" t="s">
        <v>17</v>
      </c>
    </row>
    <row r="102" spans="1:24">
      <c r="A102" s="11" t="s">
        <v>1</v>
      </c>
      <c r="B102" s="4">
        <v>8</v>
      </c>
      <c r="C102" s="4">
        <v>8</v>
      </c>
      <c r="D102" s="4">
        <f>IF(B102=C102,INDEX(A105:A115,B102,1),0)</f>
        <v>1</v>
      </c>
    </row>
    <row r="104" spans="1:24">
      <c r="A104" s="14" t="s">
        <v>17</v>
      </c>
      <c r="C104" s="46" t="s">
        <v>24</v>
      </c>
      <c r="D104" s="46"/>
      <c r="E104" s="46"/>
      <c r="F104" s="46"/>
      <c r="G104" s="46"/>
      <c r="H104" s="46"/>
      <c r="I104" s="46"/>
      <c r="J104" s="46"/>
      <c r="K104" s="46"/>
      <c r="L104" s="46"/>
      <c r="M104" s="46"/>
    </row>
    <row r="105" spans="1:24">
      <c r="A105" s="4">
        <v>1</v>
      </c>
      <c r="C105" s="10">
        <f>D102</f>
        <v>1</v>
      </c>
      <c r="D105" s="9">
        <v>1</v>
      </c>
      <c r="E105" s="9">
        <v>2</v>
      </c>
      <c r="F105" s="9">
        <v>3</v>
      </c>
      <c r="G105" s="9">
        <v>4</v>
      </c>
      <c r="H105" s="9">
        <v>5</v>
      </c>
      <c r="I105" s="9">
        <v>6</v>
      </c>
      <c r="J105" s="9">
        <v>7</v>
      </c>
      <c r="K105" s="9">
        <v>8</v>
      </c>
      <c r="L105" s="9">
        <v>9</v>
      </c>
      <c r="M105" s="9">
        <v>10</v>
      </c>
    </row>
    <row r="106" spans="1:24">
      <c r="A106" s="4">
        <v>1</v>
      </c>
      <c r="C106" s="9">
        <v>1</v>
      </c>
      <c r="D106" s="4">
        <f t="dataTable" ref="D106:M115" dt2D="1" dtr="1" r1="B102" r2="C102"/>
        <v>1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</row>
    <row r="107" spans="1:24">
      <c r="A107" s="4">
        <v>1</v>
      </c>
      <c r="C107" s="9">
        <v>2</v>
      </c>
      <c r="D107" s="4">
        <v>0</v>
      </c>
      <c r="E107" s="4">
        <v>1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</row>
    <row r="108" spans="1:24">
      <c r="A108" s="4">
        <v>1</v>
      </c>
      <c r="C108" s="9">
        <v>3</v>
      </c>
      <c r="D108" s="4">
        <v>0</v>
      </c>
      <c r="E108" s="4">
        <v>0</v>
      </c>
      <c r="F108" s="4">
        <v>1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</row>
    <row r="109" spans="1:24">
      <c r="A109" s="4">
        <v>1</v>
      </c>
      <c r="C109" s="9">
        <v>4</v>
      </c>
      <c r="D109" s="4">
        <v>0</v>
      </c>
      <c r="E109" s="4">
        <v>0</v>
      </c>
      <c r="F109" s="4">
        <v>0</v>
      </c>
      <c r="G109" s="4">
        <v>1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</row>
    <row r="110" spans="1:24">
      <c r="A110" s="4">
        <v>1</v>
      </c>
      <c r="C110" s="9">
        <v>5</v>
      </c>
      <c r="D110" s="4">
        <v>0</v>
      </c>
      <c r="E110" s="4">
        <v>0</v>
      </c>
      <c r="F110" s="4">
        <v>0</v>
      </c>
      <c r="G110" s="4">
        <v>0</v>
      </c>
      <c r="H110" s="4">
        <v>1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</row>
    <row r="111" spans="1:24">
      <c r="A111" s="4">
        <v>1</v>
      </c>
      <c r="C111" s="9">
        <v>6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1</v>
      </c>
      <c r="J111" s="4">
        <v>0</v>
      </c>
      <c r="K111" s="4">
        <v>0</v>
      </c>
      <c r="L111" s="4">
        <v>0</v>
      </c>
      <c r="M111" s="4">
        <v>0</v>
      </c>
    </row>
    <row r="112" spans="1:24">
      <c r="A112" s="4">
        <v>1</v>
      </c>
      <c r="C112" s="9">
        <v>7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1</v>
      </c>
      <c r="K112" s="4">
        <v>0</v>
      </c>
      <c r="L112" s="4">
        <v>0</v>
      </c>
      <c r="M112" s="4">
        <v>0</v>
      </c>
    </row>
    <row r="113" spans="1:22">
      <c r="A113" s="4">
        <v>1</v>
      </c>
      <c r="C113" s="9">
        <v>8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1</v>
      </c>
      <c r="L113" s="4">
        <v>0</v>
      </c>
      <c r="M113" s="4">
        <v>0</v>
      </c>
    </row>
    <row r="114" spans="1:22">
      <c r="A114" s="4">
        <v>1</v>
      </c>
      <c r="C114" s="9">
        <v>9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1</v>
      </c>
      <c r="M114" s="4">
        <v>0</v>
      </c>
    </row>
    <row r="115" spans="1:22">
      <c r="C115" s="9">
        <v>10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1</v>
      </c>
    </row>
    <row r="118" spans="1:22">
      <c r="A118" s="5"/>
      <c r="B118" s="5"/>
      <c r="C118" s="5"/>
      <c r="D118" s="5"/>
      <c r="E118" s="5"/>
      <c r="F118" s="5"/>
      <c r="G118" s="5"/>
      <c r="H118" s="5"/>
      <c r="I118" s="5"/>
      <c r="J118" s="12"/>
      <c r="K118" s="12"/>
      <c r="L118" s="12"/>
      <c r="M118" s="12"/>
      <c r="N118" s="12"/>
      <c r="O118" s="12"/>
      <c r="P118" s="12"/>
      <c r="Q118" s="12"/>
      <c r="R118" s="12"/>
      <c r="S118" s="5"/>
      <c r="T118" s="5"/>
      <c r="U118" s="5"/>
      <c r="V118" s="5"/>
    </row>
    <row r="119" spans="1:22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22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2" spans="1:22">
      <c r="A122" s="11" t="s">
        <v>18</v>
      </c>
      <c r="B122" s="4">
        <v>0.3</v>
      </c>
    </row>
    <row r="124" spans="1:22">
      <c r="B124" s="11" t="s">
        <v>16</v>
      </c>
    </row>
    <row r="125" spans="1:22">
      <c r="B125" s="4">
        <f t="array" ref="B125:K134">D106:N116/B122</f>
        <v>3.3333333333333335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</row>
    <row r="126" spans="1:22">
      <c r="B126" s="4">
        <v>0</v>
      </c>
      <c r="C126" s="4">
        <v>3.3333333333333335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</row>
    <row r="127" spans="1:22">
      <c r="B127" s="4">
        <v>0</v>
      </c>
      <c r="C127" s="4">
        <v>0</v>
      </c>
      <c r="D127" s="4">
        <v>3.3333333333333335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</row>
    <row r="128" spans="1:22">
      <c r="B128" s="4">
        <v>0</v>
      </c>
      <c r="C128" s="4">
        <v>0</v>
      </c>
      <c r="D128" s="4">
        <v>0</v>
      </c>
      <c r="E128" s="4">
        <v>3.3333333333333335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</row>
    <row r="129" spans="2:12">
      <c r="B129" s="4">
        <v>0</v>
      </c>
      <c r="C129" s="4">
        <v>0</v>
      </c>
      <c r="D129" s="4">
        <v>0</v>
      </c>
      <c r="E129" s="4">
        <v>0</v>
      </c>
      <c r="F129" s="4">
        <v>3.3333333333333335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</row>
    <row r="130" spans="2:12"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3.3333333333333335</v>
      </c>
      <c r="H130" s="4">
        <v>0</v>
      </c>
      <c r="I130" s="4">
        <v>0</v>
      </c>
      <c r="J130" s="4">
        <v>0</v>
      </c>
      <c r="K130" s="4">
        <v>0</v>
      </c>
    </row>
    <row r="131" spans="2:12"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3.3333333333333335</v>
      </c>
      <c r="I131" s="4">
        <v>0</v>
      </c>
      <c r="J131" s="4">
        <v>0</v>
      </c>
      <c r="K131" s="4">
        <v>0</v>
      </c>
    </row>
    <row r="132" spans="2:12"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3.3333333333333335</v>
      </c>
      <c r="J132" s="4">
        <v>0</v>
      </c>
      <c r="K132" s="4">
        <v>0</v>
      </c>
    </row>
    <row r="133" spans="2:12"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3.3333333333333335</v>
      </c>
      <c r="K133" s="4">
        <v>0</v>
      </c>
    </row>
    <row r="134" spans="2:12"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3.3333333333333335</v>
      </c>
    </row>
    <row r="137" spans="2:12" ht="17.25">
      <c r="B137" s="15" t="s">
        <v>29</v>
      </c>
    </row>
    <row r="138" spans="2:12">
      <c r="B138" s="4">
        <f t="array" ref="B138:K147">B125:K134+MMULT(A70:K79,TRANSPOSE(A70:K79))</f>
        <v>6051255.9357729899</v>
      </c>
      <c r="C138" s="4">
        <v>596008.13910318364</v>
      </c>
      <c r="D138" s="4">
        <v>1610.4343286235016</v>
      </c>
      <c r="E138" s="4">
        <v>11551.996690320741</v>
      </c>
      <c r="F138" s="4">
        <v>291.45280100611672</v>
      </c>
      <c r="G138" s="4">
        <v>-613.84508404781627</v>
      </c>
      <c r="H138" s="4">
        <v>-2478.3347882273852</v>
      </c>
      <c r="I138" s="4">
        <v>-2597.9152036479591</v>
      </c>
      <c r="J138" s="4">
        <v>-7958.9527251916552</v>
      </c>
      <c r="K138" s="4">
        <v>-123414.10493628474</v>
      </c>
      <c r="L138" s="2"/>
    </row>
    <row r="139" spans="2:12">
      <c r="B139" s="4">
        <v>596008.13910318364</v>
      </c>
      <c r="C139" s="4">
        <v>59002.00714360577</v>
      </c>
      <c r="D139" s="4">
        <v>219.96845144066711</v>
      </c>
      <c r="E139" s="4">
        <v>1028.3871182640057</v>
      </c>
      <c r="F139" s="4">
        <v>27.908890641179433</v>
      </c>
      <c r="G139" s="4">
        <v>-26.707616894148188</v>
      </c>
      <c r="H139" s="4">
        <v>-295.73691209329547</v>
      </c>
      <c r="I139" s="4">
        <v>-175.65980244785197</v>
      </c>
      <c r="J139" s="4">
        <v>-797.92684102812859</v>
      </c>
      <c r="K139" s="4">
        <v>-11423.248481456429</v>
      </c>
      <c r="L139" s="2"/>
    </row>
    <row r="140" spans="2:12">
      <c r="B140" s="4">
        <v>1610.4343286235016</v>
      </c>
      <c r="C140" s="4">
        <v>219.96845144066711</v>
      </c>
      <c r="D140" s="4">
        <v>1301.8936890726247</v>
      </c>
      <c r="E140" s="4">
        <v>291.92050414086015</v>
      </c>
      <c r="F140" s="4">
        <v>121.48846610584468</v>
      </c>
      <c r="G140" s="4">
        <v>-273.09679314501363</v>
      </c>
      <c r="H140" s="4">
        <v>-5911.250078166463</v>
      </c>
      <c r="I140" s="4">
        <v>-222.17210587501467</v>
      </c>
      <c r="J140" s="4">
        <v>-14.264165210917982</v>
      </c>
      <c r="K140" s="4">
        <v>-148.06662407338155</v>
      </c>
      <c r="L140" s="2"/>
    </row>
    <row r="141" spans="2:12">
      <c r="B141" s="4">
        <v>11551.996690320741</v>
      </c>
      <c r="C141" s="4">
        <v>1028.3871182640057</v>
      </c>
      <c r="D141" s="4">
        <v>291.92050414086015</v>
      </c>
      <c r="E141" s="4">
        <v>85571.888990168532</v>
      </c>
      <c r="F141" s="4">
        <v>207.74323837764544</v>
      </c>
      <c r="G141" s="4">
        <v>-295.25569808450882</v>
      </c>
      <c r="H141" s="4">
        <v>-2926.8799436418076</v>
      </c>
      <c r="I141" s="4">
        <v>-660.63925403217434</v>
      </c>
      <c r="J141" s="4">
        <v>-1879.2982250840573</v>
      </c>
      <c r="K141" s="4">
        <v>-7795.7377281839663</v>
      </c>
      <c r="L141" s="2"/>
    </row>
    <row r="142" spans="2:12">
      <c r="B142" s="4">
        <v>291.45280100611672</v>
      </c>
      <c r="C142" s="4">
        <v>27.908890641179433</v>
      </c>
      <c r="D142" s="4">
        <v>121.48846610584468</v>
      </c>
      <c r="E142" s="4">
        <v>207.74323837764544</v>
      </c>
      <c r="F142" s="4">
        <v>31.235843022991165</v>
      </c>
      <c r="G142" s="4">
        <v>-69.737363136146357</v>
      </c>
      <c r="H142" s="4">
        <v>-544.45937519522897</v>
      </c>
      <c r="I142" s="4">
        <v>-103.78498953728312</v>
      </c>
      <c r="J142" s="4">
        <v>-12.644457387298143</v>
      </c>
      <c r="K142" s="4">
        <v>-583.89084732354081</v>
      </c>
      <c r="L142" s="2"/>
    </row>
    <row r="143" spans="2:12">
      <c r="B143" s="4">
        <v>-613.84508404781627</v>
      </c>
      <c r="C143" s="4">
        <v>-26.707616894148188</v>
      </c>
      <c r="D143" s="4">
        <v>-273.09679314501363</v>
      </c>
      <c r="E143" s="4">
        <v>-295.25569808450882</v>
      </c>
      <c r="F143" s="4">
        <v>-69.737363136146357</v>
      </c>
      <c r="G143" s="4">
        <v>201.25164992693877</v>
      </c>
      <c r="H143" s="4">
        <v>1297.4462522729248</v>
      </c>
      <c r="I143" s="4">
        <v>322.46894404656774</v>
      </c>
      <c r="J143" s="4">
        <v>22.698377196140768</v>
      </c>
      <c r="K143" s="4">
        <v>2043.2167443129113</v>
      </c>
      <c r="L143" s="2"/>
    </row>
    <row r="144" spans="2:12">
      <c r="B144" s="4">
        <v>-2478.3347882273852</v>
      </c>
      <c r="C144" s="4">
        <v>-295.73691209329547</v>
      </c>
      <c r="D144" s="4">
        <v>-5911.250078166463</v>
      </c>
      <c r="E144" s="4">
        <v>-2926.8799436418076</v>
      </c>
      <c r="F144" s="4">
        <v>-544.45937519522897</v>
      </c>
      <c r="G144" s="4">
        <v>1297.4462522729248</v>
      </c>
      <c r="H144" s="4">
        <v>28149.09411255343</v>
      </c>
      <c r="I144" s="4">
        <v>1094.4246505556946</v>
      </c>
      <c r="J144" s="4">
        <v>70.362099545558323</v>
      </c>
      <c r="K144" s="4">
        <v>1066.0609611813063</v>
      </c>
      <c r="L144" s="2"/>
    </row>
    <row r="145" spans="1:22">
      <c r="B145" s="4">
        <v>-2597.9152036479591</v>
      </c>
      <c r="C145" s="4">
        <v>-175.65980244785197</v>
      </c>
      <c r="D145" s="4">
        <v>-222.17210587501467</v>
      </c>
      <c r="E145" s="4">
        <v>-660.63925403217434</v>
      </c>
      <c r="F145" s="4">
        <v>-103.78498953728312</v>
      </c>
      <c r="G145" s="4">
        <v>322.46894404656774</v>
      </c>
      <c r="H145" s="4">
        <v>1094.4246505556946</v>
      </c>
      <c r="I145" s="4">
        <v>597.22327917381028</v>
      </c>
      <c r="J145" s="4">
        <v>43.701645789034657</v>
      </c>
      <c r="K145" s="4">
        <v>4258.9862690968203</v>
      </c>
      <c r="L145" s="2"/>
    </row>
    <row r="146" spans="1:22">
      <c r="B146" s="4">
        <v>-7958.9527251916552</v>
      </c>
      <c r="C146" s="4">
        <v>-797.92684102812859</v>
      </c>
      <c r="D146" s="4">
        <v>-14.264165210917982</v>
      </c>
      <c r="E146" s="4">
        <v>-1879.2982250840573</v>
      </c>
      <c r="F146" s="4">
        <v>-12.644457387298143</v>
      </c>
      <c r="G146" s="4">
        <v>22.698377196140768</v>
      </c>
      <c r="H146" s="4">
        <v>70.362099545558323</v>
      </c>
      <c r="I146" s="4">
        <v>43.701645789034657</v>
      </c>
      <c r="J146" s="4">
        <v>60.385272072310933</v>
      </c>
      <c r="K146" s="4">
        <v>476.6906291106057</v>
      </c>
      <c r="L146" s="2"/>
    </row>
    <row r="147" spans="1:22">
      <c r="B147" s="4">
        <v>-123414.10493628474</v>
      </c>
      <c r="C147" s="4">
        <v>-11423.248481456429</v>
      </c>
      <c r="D147" s="4">
        <v>-148.06662407338155</v>
      </c>
      <c r="E147" s="4">
        <v>-7795.7377281839663</v>
      </c>
      <c r="F147" s="4">
        <v>-583.89084732354081</v>
      </c>
      <c r="G147" s="4">
        <v>2043.2167443129113</v>
      </c>
      <c r="H147" s="4">
        <v>1066.0609611813063</v>
      </c>
      <c r="I147" s="4">
        <v>4258.9862690968203</v>
      </c>
      <c r="J147" s="4">
        <v>476.6906291106057</v>
      </c>
      <c r="K147" s="4">
        <v>35668.423055830077</v>
      </c>
      <c r="L147" s="2"/>
    </row>
    <row r="148" spans="1:22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22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22">
      <c r="A150" s="5"/>
      <c r="B150" s="5"/>
      <c r="C150" s="5"/>
      <c r="D150" s="5"/>
      <c r="E150" s="5"/>
      <c r="F150" s="5"/>
      <c r="G150" s="5"/>
      <c r="H150" s="5"/>
      <c r="I150" s="5"/>
      <c r="J150" s="12"/>
      <c r="K150" s="12"/>
      <c r="L150" s="12"/>
      <c r="M150" s="12"/>
      <c r="N150" s="12"/>
      <c r="O150" s="12"/>
      <c r="P150" s="12"/>
      <c r="Q150" s="12"/>
      <c r="R150" s="12"/>
      <c r="S150" s="5"/>
      <c r="T150" s="5"/>
      <c r="U150" s="5"/>
      <c r="V150" s="5"/>
    </row>
    <row r="154" spans="1:22" ht="17.25">
      <c r="B154" s="16" t="s">
        <v>31</v>
      </c>
      <c r="D154" s="24" t="s">
        <v>38</v>
      </c>
      <c r="E154" s="26" t="s">
        <v>20</v>
      </c>
    </row>
    <row r="155" spans="1:22">
      <c r="B155" s="4">
        <f t="array" ref="B155:B164">MMULT(MINVERSE(B138:K147),A105:A114)</f>
        <v>-1.1264922913180409E-3</v>
      </c>
      <c r="D155" s="4">
        <f t="array" ref="D155:D164">MMULT(B17:K26,MMULT(B54:K63,B155:B164))</f>
        <v>-3.8196276214494396E-3</v>
      </c>
      <c r="E155" s="27">
        <f t="array" ref="E155">-1*MMULT(TRANSPOSE(A105:A114),MMULT(B54:K63,B155:B164))</f>
        <v>1.8236072458394856E-2</v>
      </c>
    </row>
    <row r="156" spans="1:22">
      <c r="B156" s="4">
        <v>1.2846612911992432E-2</v>
      </c>
      <c r="D156" s="4">
        <v>4.2542615100475585E-2</v>
      </c>
    </row>
    <row r="157" spans="1:22">
      <c r="B157" s="4">
        <v>-1.090608895890767E-2</v>
      </c>
      <c r="D157" s="4">
        <v>0.16807432192190161</v>
      </c>
    </row>
    <row r="158" spans="1:22">
      <c r="B158" s="4">
        <v>4.2554162162247583E-3</v>
      </c>
      <c r="D158" s="4">
        <v>6.6714497250007221E-3</v>
      </c>
    </row>
    <row r="159" spans="1:22">
      <c r="B159" s="4">
        <v>0.37347231667004921</v>
      </c>
      <c r="D159" s="4">
        <v>-6.0766398264717678E-4</v>
      </c>
    </row>
    <row r="160" spans="1:22">
      <c r="B160" s="4">
        <v>0.11844226568418111</v>
      </c>
      <c r="D160" s="4">
        <v>-5.2466923935277354E-2</v>
      </c>
    </row>
    <row r="161" spans="2:4">
      <c r="B161" s="4">
        <v>-2.3289556936012196E-3</v>
      </c>
      <c r="D161" s="4">
        <v>-3.4026163683095315E-2</v>
      </c>
    </row>
    <row r="162" spans="2:4">
      <c r="B162" s="4">
        <v>5.3131730452642988E-2</v>
      </c>
      <c r="D162" s="4">
        <v>-0.11519804077498186</v>
      </c>
    </row>
    <row r="163" spans="2:4">
      <c r="B163" s="4">
        <v>0.23650987982527058</v>
      </c>
      <c r="D163" s="4">
        <v>-0.13658007993839369</v>
      </c>
    </row>
    <row r="164" spans="2:4">
      <c r="B164" s="4">
        <v>-8.9770832620579416E-3</v>
      </c>
      <c r="D164" s="4">
        <v>1.2990455467425388E-2</v>
      </c>
    </row>
  </sheetData>
  <mergeCells count="8">
    <mergeCell ref="A2:R3"/>
    <mergeCell ref="B10:B11"/>
    <mergeCell ref="C104:M104"/>
    <mergeCell ref="A52:K52"/>
    <mergeCell ref="A34:K34"/>
    <mergeCell ref="F10:G10"/>
    <mergeCell ref="H10:I10"/>
    <mergeCell ref="A15:E15"/>
  </mergeCells>
  <pageMargins left="0.7" right="0.7" top="0.75" bottom="0.75" header="0.3" footer="0.3"/>
  <pageSetup paperSize="9" orientation="portrait" horizontalDpi="300" verticalDpi="300" r:id="rId1"/>
  <legacyDrawing r:id="rId2"/>
  <oleObjects>
    <oleObject progId="Equation.DSMT4" shapeId="2054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>
  <dimension ref="A2:AP104"/>
  <sheetViews>
    <sheetView workbookViewId="0">
      <selection activeCell="K9" sqref="K9"/>
    </sheetView>
  </sheetViews>
  <sheetFormatPr defaultRowHeight="15"/>
  <cols>
    <col min="1" max="1" width="17.7109375" style="1" bestFit="1" customWidth="1"/>
    <col min="2" max="3" width="9.140625" style="1"/>
    <col min="4" max="4" width="12.28515625" style="1" bestFit="1" customWidth="1"/>
    <col min="5" max="5" width="12.7109375" style="1" bestFit="1" customWidth="1"/>
    <col min="6" max="6" width="12.28515625" style="1" bestFit="1" customWidth="1"/>
    <col min="7" max="7" width="19.42578125" style="1" customWidth="1"/>
    <col min="8" max="8" width="18.140625" style="1" customWidth="1"/>
    <col min="9" max="9" width="14.140625" style="1" customWidth="1"/>
    <col min="10" max="11" width="12.7109375" style="1" bestFit="1" customWidth="1"/>
    <col min="12" max="12" width="15.140625" style="1" bestFit="1" customWidth="1"/>
    <col min="13" max="13" width="9.140625" style="1"/>
    <col min="14" max="14" width="15.140625" style="1" bestFit="1" customWidth="1"/>
    <col min="15" max="18" width="9.140625" style="1"/>
    <col min="19" max="19" width="22.85546875" style="1" customWidth="1"/>
    <col min="20" max="16384" width="9.140625" style="1"/>
  </cols>
  <sheetData>
    <row r="2" spans="1:20">
      <c r="A2" s="49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</row>
    <row r="3" spans="1:20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16" spans="1:20">
      <c r="A16" s="47" t="s">
        <v>32</v>
      </c>
      <c r="B16" s="47"/>
      <c r="C16" s="47"/>
      <c r="D16" s="47"/>
      <c r="E16" s="47"/>
      <c r="F16" s="47"/>
      <c r="I16" s="50" t="s">
        <v>37</v>
      </c>
      <c r="J16" s="51"/>
      <c r="K16" s="51"/>
      <c r="L16" s="51"/>
      <c r="M16" s="51"/>
      <c r="N16" s="51"/>
      <c r="O16" s="51"/>
      <c r="P16" s="51"/>
      <c r="Q16" s="51"/>
      <c r="R16" s="52"/>
    </row>
    <row r="17" spans="1:22" ht="30" customHeight="1">
      <c r="A17" s="21" t="s">
        <v>9</v>
      </c>
      <c r="B17" s="21" t="s">
        <v>7</v>
      </c>
      <c r="C17" s="21" t="s">
        <v>8</v>
      </c>
      <c r="D17" s="21" t="s">
        <v>33</v>
      </c>
      <c r="E17" s="21" t="s">
        <v>34</v>
      </c>
      <c r="F17" s="21" t="s">
        <v>35</v>
      </c>
      <c r="I17" s="25">
        <v>1</v>
      </c>
      <c r="J17" s="25">
        <v>2</v>
      </c>
      <c r="K17" s="25">
        <v>3</v>
      </c>
      <c r="L17" s="25">
        <v>4</v>
      </c>
      <c r="M17" s="25">
        <v>5</v>
      </c>
      <c r="N17" s="25">
        <v>6</v>
      </c>
      <c r="O17" s="25">
        <v>7</v>
      </c>
      <c r="P17" s="25">
        <v>8</v>
      </c>
      <c r="Q17" s="25">
        <v>9</v>
      </c>
      <c r="R17" s="25">
        <v>10</v>
      </c>
      <c r="S17" s="24"/>
    </row>
    <row r="18" spans="1:22">
      <c r="A18" s="25">
        <v>1</v>
      </c>
      <c r="B18" s="4">
        <f>Input!G7</f>
        <v>-1.7985617256992208</v>
      </c>
      <c r="C18" s="4">
        <f>Input!H7</f>
        <v>-1.673029923884684</v>
      </c>
      <c r="D18" s="4">
        <f>Input!I7</f>
        <v>1</v>
      </c>
      <c r="E18" s="4">
        <f>S18</f>
        <v>1</v>
      </c>
      <c r="F18" s="4" t="b">
        <f>IF(D18=E18,TRUE,FALSE)</f>
        <v>1</v>
      </c>
      <c r="H18" s="25">
        <v>1</v>
      </c>
      <c r="I18" s="31">
        <f>'Non Linear Calculation'!B17</f>
        <v>2447.7849021929574</v>
      </c>
      <c r="J18" s="32">
        <f>'Non Linear Calculation'!C17</f>
        <v>239.54157258409174</v>
      </c>
      <c r="K18" s="32">
        <f>'Non Linear Calculation'!D17</f>
        <v>0.43945881915200186</v>
      </c>
      <c r="L18" s="32">
        <f>'Non Linear Calculation'!E17</f>
        <v>3.9154265912838468</v>
      </c>
      <c r="M18" s="32">
        <f>'Non Linear Calculation'!F17</f>
        <v>3.207011626285191E-2</v>
      </c>
      <c r="N18" s="32">
        <f>'Non Linear Calculation'!G17</f>
        <v>4.4613672717062534E-2</v>
      </c>
      <c r="O18" s="32">
        <f>'Non Linear Calculation'!H17</f>
        <v>0.89071461471620428</v>
      </c>
      <c r="P18" s="32">
        <f>'Non Linear Calculation'!I17</f>
        <v>0.62995317521652561</v>
      </c>
      <c r="Q18" s="32">
        <f>'Non Linear Calculation'!J17</f>
        <v>3.0923983540506348</v>
      </c>
      <c r="R18" s="33">
        <f>'Non Linear Calculation'!K17</f>
        <v>46.842610840827689</v>
      </c>
      <c r="S18" s="27">
        <f t="array" ref="S18">SIGN(MMULT(I18:R18,'Non Linear Calculation'!$D$155:$D$164)-'Non Linear Calculation'!$E$155)</f>
        <v>1</v>
      </c>
    </row>
    <row r="19" spans="1:22">
      <c r="A19" s="25">
        <v>2</v>
      </c>
      <c r="B19" s="4">
        <f>Input!G8</f>
        <v>-1.0791370354195324</v>
      </c>
      <c r="C19" s="4">
        <f>Input!H8</f>
        <v>-0.59365577944295245</v>
      </c>
      <c r="D19" s="4">
        <f>Input!I8</f>
        <v>1</v>
      </c>
      <c r="E19" s="4">
        <f t="shared" ref="E19:E27" si="0">S19</f>
        <v>1</v>
      </c>
      <c r="F19" s="4" t="b">
        <f t="shared" ref="F19:F27" si="1">IF(D19=E19,TRUE,FALSE)</f>
        <v>1</v>
      </c>
      <c r="H19" s="25">
        <v>2</v>
      </c>
      <c r="I19" s="34">
        <f>'Non Linear Calculation'!B18</f>
        <v>239.54157258409174</v>
      </c>
      <c r="J19" s="30">
        <f>'Non Linear Calculation'!C18</f>
        <v>40.133585809760945</v>
      </c>
      <c r="K19" s="30">
        <f>'Non Linear Calculation'!D18</f>
        <v>2.0627086238432213</v>
      </c>
      <c r="L19" s="30">
        <f>'Non Linear Calculation'!E18</f>
        <v>0.19968038153403395</v>
      </c>
      <c r="M19" s="30">
        <f>'Non Linear Calculation'!F18</f>
        <v>0.30385948548016867</v>
      </c>
      <c r="N19" s="30">
        <f>'Non Linear Calculation'!G18</f>
        <v>1.0948244176627177E-2</v>
      </c>
      <c r="O19" s="30">
        <f>'Non Linear Calculation'!H18</f>
        <v>4.4406872232066394E-2</v>
      </c>
      <c r="P19" s="30">
        <f>'Non Linear Calculation'!I18</f>
        <v>1.7507785930615629E-5</v>
      </c>
      <c r="Q19" s="30">
        <f>'Non Linear Calculation'!J18</f>
        <v>1.2760615587124429</v>
      </c>
      <c r="R19" s="35">
        <f>'Non Linear Calculation'!K18</f>
        <v>0.8869665261145947</v>
      </c>
      <c r="S19" s="27">
        <f t="array" ref="S19">SIGN(MMULT(I19:R19,'Non Linear Calculation'!$D$155:$D$164)-'Non Linear Calculation'!$E$155)</f>
        <v>1</v>
      </c>
    </row>
    <row r="20" spans="1:22">
      <c r="A20" s="25">
        <v>3</v>
      </c>
      <c r="B20" s="4">
        <f>Input!G9</f>
        <v>-0.59952057523307356</v>
      </c>
      <c r="C20" s="4">
        <f>Input!H9</f>
        <v>0.75556190110921206</v>
      </c>
      <c r="D20" s="4">
        <f>Input!I9</f>
        <v>1</v>
      </c>
      <c r="E20" s="4">
        <f t="shared" si="0"/>
        <v>1</v>
      </c>
      <c r="F20" s="4" t="b">
        <f t="shared" si="1"/>
        <v>1</v>
      </c>
      <c r="H20" s="25">
        <v>3</v>
      </c>
      <c r="I20" s="34">
        <f>'Non Linear Calculation'!B19</f>
        <v>0.43945881915200186</v>
      </c>
      <c r="J20" s="30">
        <f>'Non Linear Calculation'!C19</f>
        <v>2.0627086238432213</v>
      </c>
      <c r="K20" s="30">
        <f>'Non Linear Calculation'!D19</f>
        <v>13.883471677585977</v>
      </c>
      <c r="L20" s="30">
        <f>'Non Linear Calculation'!E19</f>
        <v>0.25007390056740242</v>
      </c>
      <c r="M20" s="30">
        <f>'Non Linear Calculation'!F19</f>
        <v>1.4179213880667239</v>
      </c>
      <c r="N20" s="30">
        <f>'Non Linear Calculation'!G19</f>
        <v>1.7571439460333271</v>
      </c>
      <c r="O20" s="30">
        <f>'Non Linear Calculation'!H19</f>
        <v>33.077032882211213</v>
      </c>
      <c r="P20" s="30">
        <f>'Non Linear Calculation'!I19</f>
        <v>1.0306066288668281</v>
      </c>
      <c r="Q20" s="30">
        <f>'Non Linear Calculation'!J19</f>
        <v>0.21819221308291623</v>
      </c>
      <c r="R20" s="35">
        <f>'Non Linear Calculation'!K19</f>
        <v>3.4985348247729607E-2</v>
      </c>
      <c r="S20" s="27">
        <f t="array" ref="S20">SIGN(MMULT(I20:R20,'Non Linear Calculation'!$D$155:$D$164)-'Non Linear Calculation'!$E$155)</f>
        <v>1</v>
      </c>
    </row>
    <row r="21" spans="1:22">
      <c r="A21" s="25">
        <v>4</v>
      </c>
      <c r="B21" s="4">
        <f>Input!G10</f>
        <v>1.0791370354195324</v>
      </c>
      <c r="C21" s="4">
        <f>Input!H10</f>
        <v>-1.4031863877742512</v>
      </c>
      <c r="D21" s="4">
        <f>Input!I10</f>
        <v>1</v>
      </c>
      <c r="E21" s="4">
        <f t="shared" si="0"/>
        <v>1</v>
      </c>
      <c r="F21" s="4" t="b">
        <f t="shared" si="1"/>
        <v>1</v>
      </c>
      <c r="H21" s="25">
        <v>4</v>
      </c>
      <c r="I21" s="34">
        <f>'Non Linear Calculation'!B20</f>
        <v>3.9154265912838468</v>
      </c>
      <c r="J21" s="30">
        <f>'Non Linear Calculation'!C20</f>
        <v>0.19968038153403395</v>
      </c>
      <c r="K21" s="30">
        <f>'Non Linear Calculation'!D20</f>
        <v>0.25007390056740242</v>
      </c>
      <c r="L21" s="30">
        <f>'Non Linear Calculation'!E20</f>
        <v>291.9165025164848</v>
      </c>
      <c r="M21" s="30">
        <f>'Non Linear Calculation'!F20</f>
        <v>0.4665843089787845</v>
      </c>
      <c r="N21" s="30">
        <f>'Non Linear Calculation'!G20</f>
        <v>0.24932008232744421</v>
      </c>
      <c r="O21" s="30">
        <f>'Non Linear Calculation'!H20</f>
        <v>6.3000597063960235</v>
      </c>
      <c r="P21" s="30">
        <f>'Non Linear Calculation'!I20</f>
        <v>0.86865994494514609</v>
      </c>
      <c r="Q21" s="30">
        <f>'Non Linear Calculation'!J20</f>
        <v>6.2915777508057538</v>
      </c>
      <c r="R21" s="35">
        <f>'Non Linear Calculation'!K20</f>
        <v>16.017774700522882</v>
      </c>
      <c r="S21" s="27">
        <f t="array" ref="S21">SIGN(MMULT(I21:R21,'Non Linear Calculation'!$D$155:$D$164)-'Non Linear Calculation'!$E$155)</f>
        <v>1</v>
      </c>
    </row>
    <row r="22" spans="1:22">
      <c r="A22" s="25">
        <v>5</v>
      </c>
      <c r="B22" s="4">
        <f>Input!G11</f>
        <v>0.11990411504661472</v>
      </c>
      <c r="C22" s="4">
        <f>Input!H11</f>
        <v>0.21587482888834628</v>
      </c>
      <c r="D22" s="4">
        <f>Input!I11</f>
        <v>1</v>
      </c>
      <c r="E22" s="4">
        <f t="shared" si="0"/>
        <v>-1</v>
      </c>
      <c r="F22" s="4" t="b">
        <f t="shared" si="1"/>
        <v>0</v>
      </c>
      <c r="H22" s="25">
        <v>5</v>
      </c>
      <c r="I22" s="34">
        <f>'Non Linear Calculation'!B21</f>
        <v>3.207011626285191E-2</v>
      </c>
      <c r="J22" s="30">
        <f>'Non Linear Calculation'!C21</f>
        <v>0.30385948548016867</v>
      </c>
      <c r="K22" s="30">
        <f>'Non Linear Calculation'!D21</f>
        <v>1.4179213880667239</v>
      </c>
      <c r="L22" s="30">
        <f>'Non Linear Calculation'!E21</f>
        <v>0.4665843089787845</v>
      </c>
      <c r="M22" s="30">
        <f>'Non Linear Calculation'!F21</f>
        <v>1.2671471505104401</v>
      </c>
      <c r="N22" s="30">
        <f>'Non Linear Calculation'!G21</f>
        <v>1.7367823523873023</v>
      </c>
      <c r="O22" s="30">
        <f>'Non Linear Calculation'!H21</f>
        <v>2.810094899161367</v>
      </c>
      <c r="P22" s="30">
        <f>'Non Linear Calculation'!I21</f>
        <v>1.9174370292309322</v>
      </c>
      <c r="Q22" s="30">
        <f>'Non Linear Calculation'!J21</f>
        <v>0.79571983249883382</v>
      </c>
      <c r="R22" s="35">
        <f>'Non Linear Calculation'!K21</f>
        <v>2.7843321702808423</v>
      </c>
      <c r="S22" s="27">
        <f t="array" ref="S22">SIGN(MMULT(I22:R22,'Non Linear Calculation'!$D$155:$D$164)-'Non Linear Calculation'!$E$155)</f>
        <v>-1</v>
      </c>
    </row>
    <row r="23" spans="1:22">
      <c r="A23" s="25">
        <v>6</v>
      </c>
      <c r="B23" s="4">
        <f>Input!G12</f>
        <v>0.35971234513984418</v>
      </c>
      <c r="C23" s="4">
        <f>Input!H12</f>
        <v>0.48571836499877918</v>
      </c>
      <c r="D23" s="4">
        <f>Input!I12</f>
        <v>-1</v>
      </c>
      <c r="E23" s="4">
        <f t="shared" si="0"/>
        <v>-1</v>
      </c>
      <c r="F23" s="4" t="b">
        <f t="shared" si="1"/>
        <v>1</v>
      </c>
      <c r="H23" s="25">
        <v>6</v>
      </c>
      <c r="I23" s="34">
        <f>'Non Linear Calculation'!B22</f>
        <v>4.4613672717062534E-2</v>
      </c>
      <c r="J23" s="30">
        <f>'Non Linear Calculation'!C22</f>
        <v>1.0948244176627177E-2</v>
      </c>
      <c r="K23" s="30">
        <f>'Non Linear Calculation'!D22</f>
        <v>1.7571439460333271</v>
      </c>
      <c r="L23" s="30">
        <f>'Non Linear Calculation'!E22</f>
        <v>0.24932008232744421</v>
      </c>
      <c r="M23" s="30">
        <f>'Non Linear Calculation'!F22</f>
        <v>1.7367823523873023</v>
      </c>
      <c r="N23" s="30">
        <f>'Non Linear Calculation'!G22</f>
        <v>3.4748161384941549</v>
      </c>
      <c r="O23" s="30">
        <f>'Non Linear Calculation'!H22</f>
        <v>7.0730070853812519</v>
      </c>
      <c r="P23" s="30">
        <f>'Non Linear Calculation'!I22</f>
        <v>4.439771824070708</v>
      </c>
      <c r="Q23" s="30">
        <f>'Non Linear Calculation'!J22</f>
        <v>0.61579995666927445</v>
      </c>
      <c r="R23" s="35">
        <f>'Non Linear Calculation'!K22</f>
        <v>10.419093923994804</v>
      </c>
      <c r="S23" s="27">
        <f t="array" ref="S23">SIGN(MMULT(I23:R23,'Non Linear Calculation'!$D$155:$D$164)-'Non Linear Calculation'!$E$155)</f>
        <v>-1</v>
      </c>
    </row>
    <row r="24" spans="1:22">
      <c r="A24" s="25">
        <v>7</v>
      </c>
      <c r="B24" s="4">
        <f>Input!G13</f>
        <v>-0.35971234513984418</v>
      </c>
      <c r="C24" s="4">
        <f>Input!H13</f>
        <v>1.5650925094405108</v>
      </c>
      <c r="D24" s="4">
        <f>Input!I13</f>
        <v>-1</v>
      </c>
      <c r="E24" s="4">
        <f t="shared" si="0"/>
        <v>-1</v>
      </c>
      <c r="F24" s="4" t="b">
        <f t="shared" si="1"/>
        <v>1</v>
      </c>
      <c r="H24" s="25">
        <v>7</v>
      </c>
      <c r="I24" s="34">
        <f>'Non Linear Calculation'!B23</f>
        <v>0.89071461471620428</v>
      </c>
      <c r="J24" s="30">
        <f>'Non Linear Calculation'!C23</f>
        <v>4.4406872232066394E-2</v>
      </c>
      <c r="K24" s="30">
        <f>'Non Linear Calculation'!D23</f>
        <v>33.077032882211213</v>
      </c>
      <c r="L24" s="30">
        <f>'Non Linear Calculation'!E23</f>
        <v>6.3000597063960235</v>
      </c>
      <c r="M24" s="30">
        <f>'Non Linear Calculation'!F23</f>
        <v>2.810094899161367</v>
      </c>
      <c r="N24" s="30">
        <f>'Non Linear Calculation'!G23</f>
        <v>7.0730070853812519</v>
      </c>
      <c r="O24" s="30">
        <f>'Non Linear Calculation'!H23</f>
        <v>164.05969957148335</v>
      </c>
      <c r="P24" s="30">
        <f>'Non Linear Calculation'!I23</f>
        <v>5.6910940892967652</v>
      </c>
      <c r="Q24" s="30">
        <f>'Non Linear Calculation'!J23</f>
        <v>4.1032825984070383E-2</v>
      </c>
      <c r="R24" s="35">
        <f>'Non Linear Calculation'!K23</f>
        <v>2.0700860963577474</v>
      </c>
      <c r="S24" s="27">
        <f t="array" ref="S24">SIGN(MMULT(I24:R24,'Non Linear Calculation'!$D$155:$D$164)-'Non Linear Calculation'!$E$155)</f>
        <v>-1</v>
      </c>
    </row>
    <row r="25" spans="1:22">
      <c r="A25" s="25">
        <v>8</v>
      </c>
      <c r="B25" s="4">
        <f>Input!G14</f>
        <v>0.59952057523307356</v>
      </c>
      <c r="C25" s="4">
        <f>Input!H14</f>
        <v>0.48571836499877918</v>
      </c>
      <c r="D25" s="4">
        <f>Input!I14</f>
        <v>-1</v>
      </c>
      <c r="E25" s="4">
        <f t="shared" si="0"/>
        <v>-1</v>
      </c>
      <c r="F25" s="4" t="b">
        <f t="shared" si="1"/>
        <v>1</v>
      </c>
      <c r="H25" s="25">
        <v>8</v>
      </c>
      <c r="I25" s="34">
        <f>'Non Linear Calculation'!B24</f>
        <v>0.62995317521652561</v>
      </c>
      <c r="J25" s="30">
        <f>'Non Linear Calculation'!C24</f>
        <v>1.7507785930615629E-5</v>
      </c>
      <c r="K25" s="30">
        <f>'Non Linear Calculation'!D24</f>
        <v>1.0306066288668281</v>
      </c>
      <c r="L25" s="30">
        <f>'Non Linear Calculation'!E24</f>
        <v>0.86865994494514609</v>
      </c>
      <c r="M25" s="30">
        <f>'Non Linear Calculation'!F24</f>
        <v>1.9174370292309322</v>
      </c>
      <c r="N25" s="30">
        <f>'Non Linear Calculation'!G24</f>
        <v>4.439771824070708</v>
      </c>
      <c r="O25" s="30">
        <f>'Non Linear Calculation'!H24</f>
        <v>5.6910940892967652</v>
      </c>
      <c r="P25" s="30">
        <f>'Non Linear Calculation'!I24</f>
        <v>6.4777012180412843</v>
      </c>
      <c r="Q25" s="30">
        <f>'Non Linear Calculation'!J24</f>
        <v>0.69973130528330707</v>
      </c>
      <c r="R25" s="35">
        <f>'Non Linear Calculation'!K24</f>
        <v>22.19120224773491</v>
      </c>
      <c r="S25" s="27">
        <f t="array" ref="S25">SIGN(MMULT(I25:R25,'Non Linear Calculation'!$D$155:$D$164)-'Non Linear Calculation'!$E$155)</f>
        <v>-1</v>
      </c>
    </row>
    <row r="26" spans="1:22">
      <c r="A26" s="25">
        <v>9</v>
      </c>
      <c r="B26" s="4">
        <f>Input!G15</f>
        <v>0.11990411504661472</v>
      </c>
      <c r="C26" s="4">
        <f>Input!H15</f>
        <v>-0.32381224333251951</v>
      </c>
      <c r="D26" s="4">
        <f>Input!I15</f>
        <v>-1</v>
      </c>
      <c r="E26" s="4">
        <f t="shared" si="0"/>
        <v>-1</v>
      </c>
      <c r="F26" s="4" t="b">
        <f t="shared" si="1"/>
        <v>1</v>
      </c>
      <c r="H26" s="25">
        <v>9</v>
      </c>
      <c r="I26" s="34">
        <f>'Non Linear Calculation'!B25</f>
        <v>3.0923983540506348</v>
      </c>
      <c r="J26" s="30">
        <f>'Non Linear Calculation'!C25</f>
        <v>1.2760615587124429</v>
      </c>
      <c r="K26" s="30">
        <f>'Non Linear Calculation'!D25</f>
        <v>0.21819221308291623</v>
      </c>
      <c r="L26" s="30">
        <f>'Non Linear Calculation'!E25</f>
        <v>6.2915777508057538</v>
      </c>
      <c r="M26" s="30">
        <f>'Non Linear Calculation'!F25</f>
        <v>0.79571983249883382</v>
      </c>
      <c r="N26" s="30">
        <f>'Non Linear Calculation'!G25</f>
        <v>0.61579995666927445</v>
      </c>
      <c r="O26" s="30">
        <f>'Non Linear Calculation'!H25</f>
        <v>4.1032825984070383E-2</v>
      </c>
      <c r="P26" s="30">
        <f>'Non Linear Calculation'!I25</f>
        <v>0.69973130528330707</v>
      </c>
      <c r="Q26" s="30">
        <f>'Non Linear Calculation'!J25</f>
        <v>1.5692043013622086</v>
      </c>
      <c r="R26" s="35">
        <f>'Non Linear Calculation'!K25</f>
        <v>1.1238461863856906</v>
      </c>
      <c r="S26" s="27">
        <f t="array" ref="S26">SIGN(MMULT(I26:R26,'Non Linear Calculation'!$D$155:$D$164)-'Non Linear Calculation'!$E$155)</f>
        <v>-1</v>
      </c>
    </row>
    <row r="27" spans="1:22">
      <c r="A27" s="25">
        <v>10</v>
      </c>
      <c r="B27" s="4">
        <f>Input!G16</f>
        <v>1.5587534956059914</v>
      </c>
      <c r="C27" s="4">
        <f>Input!H16</f>
        <v>0.48571836499877918</v>
      </c>
      <c r="D27" s="4">
        <f>Input!I16</f>
        <v>-1</v>
      </c>
      <c r="E27" s="4">
        <f t="shared" si="0"/>
        <v>-1</v>
      </c>
      <c r="F27" s="4" t="b">
        <f t="shared" si="1"/>
        <v>1</v>
      </c>
      <c r="H27" s="25">
        <v>10</v>
      </c>
      <c r="I27" s="36">
        <f>'Non Linear Calculation'!B26</f>
        <v>46.842610840827689</v>
      </c>
      <c r="J27" s="37">
        <f>'Non Linear Calculation'!C26</f>
        <v>0.8869665261145947</v>
      </c>
      <c r="K27" s="37">
        <f>'Non Linear Calculation'!D26</f>
        <v>3.4985348247729607E-2</v>
      </c>
      <c r="L27" s="37">
        <f>'Non Linear Calculation'!E26</f>
        <v>16.017774700522882</v>
      </c>
      <c r="M27" s="37">
        <f>'Non Linear Calculation'!F26</f>
        <v>2.7843321702808423</v>
      </c>
      <c r="N27" s="37">
        <f>'Non Linear Calculation'!G26</f>
        <v>10.419093923994804</v>
      </c>
      <c r="O27" s="37">
        <f>'Non Linear Calculation'!H26</f>
        <v>2.0700860963577474</v>
      </c>
      <c r="P27" s="37">
        <f>'Non Linear Calculation'!I26</f>
        <v>22.19120224773491</v>
      </c>
      <c r="Q27" s="37">
        <f>'Non Linear Calculation'!J26</f>
        <v>1.1238461863856906</v>
      </c>
      <c r="R27" s="38">
        <f>'Non Linear Calculation'!K26</f>
        <v>180.54970153515461</v>
      </c>
      <c r="S27" s="27">
        <f t="array" ref="S27">SIGN(MMULT(I27:R27,'Non Linear Calculation'!$D$155:$D$164)-'Non Linear Calculation'!$E$155)</f>
        <v>-1</v>
      </c>
    </row>
    <row r="28" spans="1:22">
      <c r="A28" s="2"/>
      <c r="B28" s="2"/>
      <c r="C28" s="2"/>
      <c r="D28" s="2"/>
      <c r="E28" s="2"/>
      <c r="F28" s="2"/>
    </row>
    <row r="32" spans="1:22">
      <c r="A32" s="5"/>
      <c r="B32" s="5"/>
      <c r="C32" s="5"/>
      <c r="D32" s="5"/>
      <c r="E32" s="5"/>
      <c r="F32" s="5"/>
      <c r="G32" s="5"/>
      <c r="H32" s="5"/>
      <c r="I32" s="5"/>
      <c r="J32" s="12"/>
      <c r="K32" s="12"/>
      <c r="L32" s="12"/>
      <c r="M32" s="12"/>
      <c r="N32" s="12"/>
      <c r="O32" s="12"/>
      <c r="P32" s="12"/>
      <c r="Q32" s="12"/>
      <c r="R32" s="12"/>
      <c r="S32" s="5"/>
      <c r="T32" s="5"/>
      <c r="U32" s="5"/>
      <c r="V32" s="5"/>
    </row>
    <row r="36" spans="3:7">
      <c r="E36" s="23" t="s">
        <v>22</v>
      </c>
      <c r="F36" s="23" t="s">
        <v>23</v>
      </c>
    </row>
    <row r="37" spans="3:7">
      <c r="E37" s="22">
        <v>1.5587534956059914</v>
      </c>
      <c r="F37" s="22">
        <v>0.48571836499877918</v>
      </c>
    </row>
    <row r="39" spans="3:7">
      <c r="G39" s="5"/>
    </row>
    <row r="40" spans="3:7">
      <c r="G40" s="5"/>
    </row>
    <row r="41" spans="3:7">
      <c r="C41" s="46" t="s">
        <v>36</v>
      </c>
      <c r="D41" s="46"/>
      <c r="G41" s="5"/>
    </row>
    <row r="42" spans="3:7">
      <c r="C42" s="4">
        <v>1</v>
      </c>
      <c r="D42" s="4">
        <f t="array" ref="D42">(MMULT($E$37:$F$37,TRANSPOSE(B18:C18))+1)^4</f>
        <v>46.842610840827689</v>
      </c>
      <c r="F42" s="14" t="s">
        <v>27</v>
      </c>
      <c r="G42" s="4">
        <f t="array" ref="G42">SIGN(MMULT(TRANSPOSE(D42:D51),'Non Linear Calculation'!$D$155:$D$164)-'Non Linear Calculation'!$E$155)</f>
        <v>-1</v>
      </c>
    </row>
    <row r="43" spans="3:7">
      <c r="C43" s="4">
        <v>2</v>
      </c>
      <c r="D43" s="4">
        <f t="array" ref="D43">(MMULT($E$37:$F$37,TRANSPOSE(B19:C19))+1)^4</f>
        <v>0.8869665261145947</v>
      </c>
    </row>
    <row r="44" spans="3:7">
      <c r="C44" s="4">
        <v>3</v>
      </c>
      <c r="D44" s="4">
        <f t="array" ref="D44">(MMULT($E$37:$F$37,TRANSPOSE(B20:C20))+1)^4</f>
        <v>3.4985348247729607E-2</v>
      </c>
    </row>
    <row r="45" spans="3:7">
      <c r="C45" s="4">
        <v>4</v>
      </c>
      <c r="D45" s="4">
        <f t="array" ref="D45">(MMULT($E$37:$F$37,TRANSPOSE(B21:C21))+1)^4</f>
        <v>16.017774700522882</v>
      </c>
    </row>
    <row r="46" spans="3:7">
      <c r="C46" s="4">
        <v>5</v>
      </c>
      <c r="D46" s="4">
        <f t="array" ref="D46">(MMULT($E$37:$F$37,TRANSPOSE(B22:C22))+1)^4</f>
        <v>2.7843321702808423</v>
      </c>
    </row>
    <row r="47" spans="3:7">
      <c r="C47" s="4">
        <v>6</v>
      </c>
      <c r="D47" s="4">
        <f t="array" ref="D47">(MMULT($E$37:$F$37,TRANSPOSE(B23:C23))+1)^4</f>
        <v>10.419093923994804</v>
      </c>
    </row>
    <row r="48" spans="3:7">
      <c r="C48" s="4">
        <v>7</v>
      </c>
      <c r="D48" s="4">
        <f t="array" ref="D48">(MMULT($E$37:$F$37,TRANSPOSE(B24:C24))+1)^4</f>
        <v>2.0700860963577474</v>
      </c>
    </row>
    <row r="49" spans="1:42">
      <c r="C49" s="4">
        <v>8</v>
      </c>
      <c r="D49" s="4">
        <f t="array" ref="D49">(MMULT($E$37:$F$37,TRANSPOSE(B25:C25))+1)^4</f>
        <v>22.19120224773491</v>
      </c>
    </row>
    <row r="50" spans="1:42">
      <c r="C50" s="4">
        <v>9</v>
      </c>
      <c r="D50" s="4">
        <f t="array" ref="D50">(MMULT($E$37:$F$37,TRANSPOSE(B26:C26))+1)^4</f>
        <v>1.1238461863856906</v>
      </c>
    </row>
    <row r="51" spans="1:42">
      <c r="C51" s="4">
        <v>10</v>
      </c>
      <c r="D51" s="4">
        <f t="array" ref="D51">(MMULT($E$37:$F$37,TRANSPOSE(B27:C27))+1)^4</f>
        <v>180.54970153515461</v>
      </c>
    </row>
    <row r="54" spans="1:42">
      <c r="A54" s="5"/>
      <c r="B54" s="5"/>
      <c r="C54" s="5"/>
      <c r="D54" s="5"/>
      <c r="E54" s="5"/>
      <c r="F54" s="5"/>
      <c r="G54" s="5"/>
      <c r="H54" s="5"/>
      <c r="I54" s="5"/>
      <c r="J54" s="12"/>
      <c r="K54" s="12"/>
      <c r="L54" s="12"/>
      <c r="M54" s="12"/>
      <c r="N54" s="12"/>
      <c r="O54" s="12"/>
      <c r="P54" s="12"/>
      <c r="Q54" s="12"/>
      <c r="R54" s="12"/>
      <c r="S54" s="5"/>
      <c r="T54" s="5"/>
      <c r="U54" s="5"/>
      <c r="V54" s="5"/>
    </row>
    <row r="56" spans="1:42">
      <c r="A56" s="29" t="s">
        <v>28</v>
      </c>
    </row>
    <row r="60" spans="1:42">
      <c r="A60" s="4">
        <f>G42</f>
        <v>-1</v>
      </c>
      <c r="B60" s="20">
        <v>-2</v>
      </c>
      <c r="C60" s="20">
        <v>-1.9</v>
      </c>
      <c r="D60" s="20">
        <v>-1.8</v>
      </c>
      <c r="E60" s="20">
        <v>-1.7</v>
      </c>
      <c r="F60" s="20">
        <v>-1.6</v>
      </c>
      <c r="G60" s="20">
        <v>-1.5</v>
      </c>
      <c r="H60" s="20">
        <v>-1.4</v>
      </c>
      <c r="I60" s="20">
        <v>-1.3</v>
      </c>
      <c r="J60" s="20">
        <v>-1.2</v>
      </c>
      <c r="K60" s="20">
        <v>-1.1000000000000001</v>
      </c>
      <c r="L60" s="20">
        <v>-1</v>
      </c>
      <c r="M60" s="20">
        <v>-0.9</v>
      </c>
      <c r="N60" s="20">
        <v>-0.8</v>
      </c>
      <c r="O60" s="20">
        <v>-0.7</v>
      </c>
      <c r="P60" s="20">
        <v>-0.6</v>
      </c>
      <c r="Q60" s="20">
        <v>-0.5</v>
      </c>
      <c r="R60" s="20">
        <v>-0.4</v>
      </c>
      <c r="S60" s="20">
        <v>-0.3</v>
      </c>
      <c r="T60" s="20">
        <v>-0.2</v>
      </c>
      <c r="U60" s="20">
        <v>-0.1</v>
      </c>
      <c r="V60" s="20">
        <v>0</v>
      </c>
      <c r="W60" s="20">
        <v>0.1</v>
      </c>
      <c r="X60" s="20">
        <v>0.2</v>
      </c>
      <c r="Y60" s="20">
        <v>0.3</v>
      </c>
      <c r="Z60" s="20">
        <v>0.4</v>
      </c>
      <c r="AA60" s="20">
        <v>0.5</v>
      </c>
      <c r="AB60" s="20">
        <v>0.6</v>
      </c>
      <c r="AC60" s="20">
        <v>0.7</v>
      </c>
      <c r="AD60" s="20">
        <v>0.8</v>
      </c>
      <c r="AE60" s="20">
        <v>0.9</v>
      </c>
      <c r="AF60" s="20">
        <v>1</v>
      </c>
      <c r="AG60" s="20">
        <v>1.1000000000000001</v>
      </c>
      <c r="AH60" s="20">
        <v>1.2</v>
      </c>
      <c r="AI60" s="20">
        <v>1.3</v>
      </c>
      <c r="AJ60" s="20">
        <v>1.4</v>
      </c>
      <c r="AK60" s="20">
        <v>1.5</v>
      </c>
      <c r="AL60" s="20">
        <v>1.6</v>
      </c>
      <c r="AM60" s="20">
        <v>1.7</v>
      </c>
      <c r="AN60" s="20">
        <v>1.8</v>
      </c>
      <c r="AO60" s="20">
        <v>1.9</v>
      </c>
      <c r="AP60" s="20">
        <v>2</v>
      </c>
    </row>
    <row r="61" spans="1:42">
      <c r="A61" s="28">
        <v>2</v>
      </c>
      <c r="B61" s="4">
        <f t="dataTable" ref="B61:AP101" dt2D="1" dtr="1" r1="E37" r2="F37"/>
        <v>1</v>
      </c>
      <c r="C61" s="4">
        <v>1</v>
      </c>
      <c r="D61" s="4">
        <v>1</v>
      </c>
      <c r="E61" s="4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>
        <v>1</v>
      </c>
      <c r="N61" s="4">
        <v>-1</v>
      </c>
      <c r="O61" s="4">
        <v>-1</v>
      </c>
      <c r="P61" s="4">
        <v>-1</v>
      </c>
      <c r="Q61" s="4">
        <v>-1</v>
      </c>
      <c r="R61" s="4">
        <v>-1</v>
      </c>
      <c r="S61" s="4">
        <v>-1</v>
      </c>
      <c r="T61" s="4">
        <v>-1</v>
      </c>
      <c r="U61" s="4">
        <v>-1</v>
      </c>
      <c r="V61" s="4">
        <v>-1</v>
      </c>
      <c r="W61" s="4">
        <v>-1</v>
      </c>
      <c r="X61" s="4">
        <v>-1</v>
      </c>
      <c r="Y61" s="4">
        <v>-1</v>
      </c>
      <c r="Z61" s="4">
        <v>-1</v>
      </c>
      <c r="AA61" s="4">
        <v>-1</v>
      </c>
      <c r="AB61" s="4">
        <v>-1</v>
      </c>
      <c r="AC61" s="4">
        <v>-1</v>
      </c>
      <c r="AD61" s="4">
        <v>-1</v>
      </c>
      <c r="AE61" s="4">
        <v>-1</v>
      </c>
      <c r="AF61" s="4">
        <v>-1</v>
      </c>
      <c r="AG61" s="4">
        <v>-1</v>
      </c>
      <c r="AH61" s="4">
        <v>-1</v>
      </c>
      <c r="AI61" s="4">
        <v>-1</v>
      </c>
      <c r="AJ61" s="4">
        <v>-1</v>
      </c>
      <c r="AK61" s="4">
        <v>-1</v>
      </c>
      <c r="AL61" s="4">
        <v>-1</v>
      </c>
      <c r="AM61" s="4">
        <v>-1</v>
      </c>
      <c r="AN61" s="4">
        <v>-1</v>
      </c>
      <c r="AO61" s="4">
        <v>-1</v>
      </c>
      <c r="AP61" s="4">
        <v>-1</v>
      </c>
    </row>
    <row r="62" spans="1:42">
      <c r="A62" s="20">
        <v>1.9</v>
      </c>
      <c r="B62" s="4">
        <v>1</v>
      </c>
      <c r="C62" s="4">
        <v>1</v>
      </c>
      <c r="D62" s="4">
        <v>1</v>
      </c>
      <c r="E62" s="4">
        <v>1</v>
      </c>
      <c r="F62" s="4">
        <v>1</v>
      </c>
      <c r="G62" s="4">
        <v>1</v>
      </c>
      <c r="H62" s="4">
        <v>1</v>
      </c>
      <c r="I62" s="4">
        <v>1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-1</v>
      </c>
      <c r="P62" s="4">
        <v>-1</v>
      </c>
      <c r="Q62" s="4">
        <v>-1</v>
      </c>
      <c r="R62" s="4">
        <v>-1</v>
      </c>
      <c r="S62" s="4">
        <v>-1</v>
      </c>
      <c r="T62" s="4">
        <v>-1</v>
      </c>
      <c r="U62" s="4">
        <v>-1</v>
      </c>
      <c r="V62" s="4">
        <v>-1</v>
      </c>
      <c r="W62" s="4">
        <v>-1</v>
      </c>
      <c r="X62" s="4">
        <v>-1</v>
      </c>
      <c r="Y62" s="4">
        <v>-1</v>
      </c>
      <c r="Z62" s="4">
        <v>-1</v>
      </c>
      <c r="AA62" s="4">
        <v>-1</v>
      </c>
      <c r="AB62" s="4">
        <v>-1</v>
      </c>
      <c r="AC62" s="4">
        <v>-1</v>
      </c>
      <c r="AD62" s="4">
        <v>-1</v>
      </c>
      <c r="AE62" s="4">
        <v>-1</v>
      </c>
      <c r="AF62" s="4">
        <v>-1</v>
      </c>
      <c r="AG62" s="4">
        <v>-1</v>
      </c>
      <c r="AH62" s="4">
        <v>-1</v>
      </c>
      <c r="AI62" s="4">
        <v>-1</v>
      </c>
      <c r="AJ62" s="4">
        <v>-1</v>
      </c>
      <c r="AK62" s="4">
        <v>-1</v>
      </c>
      <c r="AL62" s="4">
        <v>-1</v>
      </c>
      <c r="AM62" s="4">
        <v>-1</v>
      </c>
      <c r="AN62" s="4">
        <v>-1</v>
      </c>
      <c r="AO62" s="4">
        <v>-1</v>
      </c>
      <c r="AP62" s="4">
        <v>-1</v>
      </c>
    </row>
    <row r="63" spans="1:42">
      <c r="A63" s="28">
        <v>1.8</v>
      </c>
      <c r="B63" s="4">
        <v>1</v>
      </c>
      <c r="C63" s="4">
        <v>1</v>
      </c>
      <c r="D63" s="4">
        <v>1</v>
      </c>
      <c r="E63" s="4">
        <v>1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-1</v>
      </c>
      <c r="P63" s="4">
        <v>-1</v>
      </c>
      <c r="Q63" s="4">
        <v>-1</v>
      </c>
      <c r="R63" s="4">
        <v>-1</v>
      </c>
      <c r="S63" s="4">
        <v>-1</v>
      </c>
      <c r="T63" s="4">
        <v>-1</v>
      </c>
      <c r="U63" s="4">
        <v>-1</v>
      </c>
      <c r="V63" s="4">
        <v>-1</v>
      </c>
      <c r="W63" s="4">
        <v>-1</v>
      </c>
      <c r="X63" s="4">
        <v>-1</v>
      </c>
      <c r="Y63" s="4">
        <v>-1</v>
      </c>
      <c r="Z63" s="4">
        <v>-1</v>
      </c>
      <c r="AA63" s="4">
        <v>-1</v>
      </c>
      <c r="AB63" s="4">
        <v>-1</v>
      </c>
      <c r="AC63" s="4">
        <v>-1</v>
      </c>
      <c r="AD63" s="4">
        <v>-1</v>
      </c>
      <c r="AE63" s="4">
        <v>-1</v>
      </c>
      <c r="AF63" s="4">
        <v>-1</v>
      </c>
      <c r="AG63" s="4">
        <v>-1</v>
      </c>
      <c r="AH63" s="4">
        <v>-1</v>
      </c>
      <c r="AI63" s="4">
        <v>-1</v>
      </c>
      <c r="AJ63" s="4">
        <v>-1</v>
      </c>
      <c r="AK63" s="4">
        <v>-1</v>
      </c>
      <c r="AL63" s="4">
        <v>-1</v>
      </c>
      <c r="AM63" s="4">
        <v>-1</v>
      </c>
      <c r="AN63" s="4">
        <v>-1</v>
      </c>
      <c r="AO63" s="4">
        <v>-1</v>
      </c>
      <c r="AP63" s="4">
        <v>-1</v>
      </c>
    </row>
    <row r="64" spans="1:42">
      <c r="A64" s="20">
        <v>1.7</v>
      </c>
      <c r="B64" s="4">
        <v>1</v>
      </c>
      <c r="C64" s="4">
        <v>1</v>
      </c>
      <c r="D64" s="4">
        <v>1</v>
      </c>
      <c r="E64" s="4">
        <v>1</v>
      </c>
      <c r="F64" s="4">
        <v>1</v>
      </c>
      <c r="G64" s="4">
        <v>1</v>
      </c>
      <c r="H64" s="4">
        <v>1</v>
      </c>
      <c r="I64" s="4">
        <v>1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-1</v>
      </c>
      <c r="Q64" s="4">
        <v>-1</v>
      </c>
      <c r="R64" s="4">
        <v>-1</v>
      </c>
      <c r="S64" s="4">
        <v>-1</v>
      </c>
      <c r="T64" s="4">
        <v>-1</v>
      </c>
      <c r="U64" s="4">
        <v>-1</v>
      </c>
      <c r="V64" s="4">
        <v>-1</v>
      </c>
      <c r="W64" s="4">
        <v>-1</v>
      </c>
      <c r="X64" s="4">
        <v>-1</v>
      </c>
      <c r="Y64" s="4">
        <v>-1</v>
      </c>
      <c r="Z64" s="4">
        <v>-1</v>
      </c>
      <c r="AA64" s="4">
        <v>-1</v>
      </c>
      <c r="AB64" s="4">
        <v>-1</v>
      </c>
      <c r="AC64" s="4">
        <v>-1</v>
      </c>
      <c r="AD64" s="4">
        <v>-1</v>
      </c>
      <c r="AE64" s="4">
        <v>-1</v>
      </c>
      <c r="AF64" s="4">
        <v>-1</v>
      </c>
      <c r="AG64" s="4">
        <v>-1</v>
      </c>
      <c r="AH64" s="4">
        <v>-1</v>
      </c>
      <c r="AI64" s="4">
        <v>-1</v>
      </c>
      <c r="AJ64" s="4">
        <v>-1</v>
      </c>
      <c r="AK64" s="4">
        <v>-1</v>
      </c>
      <c r="AL64" s="4">
        <v>-1</v>
      </c>
      <c r="AM64" s="4">
        <v>-1</v>
      </c>
      <c r="AN64" s="4">
        <v>-1</v>
      </c>
      <c r="AO64" s="4">
        <v>-1</v>
      </c>
      <c r="AP64" s="4">
        <v>-1</v>
      </c>
    </row>
    <row r="65" spans="1:42">
      <c r="A65" s="28">
        <v>1.6</v>
      </c>
      <c r="B65" s="4">
        <v>1</v>
      </c>
      <c r="C65" s="4">
        <v>1</v>
      </c>
      <c r="D65" s="4">
        <v>1</v>
      </c>
      <c r="E65" s="4">
        <v>1</v>
      </c>
      <c r="F65" s="4">
        <v>1</v>
      </c>
      <c r="G65" s="4">
        <v>1</v>
      </c>
      <c r="H65" s="4">
        <v>1</v>
      </c>
      <c r="I65" s="4">
        <v>1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-1</v>
      </c>
      <c r="R65" s="4">
        <v>-1</v>
      </c>
      <c r="S65" s="4">
        <v>-1</v>
      </c>
      <c r="T65" s="4">
        <v>-1</v>
      </c>
      <c r="U65" s="4">
        <v>-1</v>
      </c>
      <c r="V65" s="4">
        <v>-1</v>
      </c>
      <c r="W65" s="4">
        <v>-1</v>
      </c>
      <c r="X65" s="4">
        <v>-1</v>
      </c>
      <c r="Y65" s="4">
        <v>-1</v>
      </c>
      <c r="Z65" s="4">
        <v>-1</v>
      </c>
      <c r="AA65" s="4">
        <v>-1</v>
      </c>
      <c r="AB65" s="4">
        <v>-1</v>
      </c>
      <c r="AC65" s="4">
        <v>-1</v>
      </c>
      <c r="AD65" s="4">
        <v>-1</v>
      </c>
      <c r="AE65" s="4">
        <v>-1</v>
      </c>
      <c r="AF65" s="4">
        <v>-1</v>
      </c>
      <c r="AG65" s="4">
        <v>-1</v>
      </c>
      <c r="AH65" s="4">
        <v>-1</v>
      </c>
      <c r="AI65" s="4">
        <v>-1</v>
      </c>
      <c r="AJ65" s="4">
        <v>-1</v>
      </c>
      <c r="AK65" s="4">
        <v>-1</v>
      </c>
      <c r="AL65" s="4">
        <v>-1</v>
      </c>
      <c r="AM65" s="4">
        <v>-1</v>
      </c>
      <c r="AN65" s="4">
        <v>-1</v>
      </c>
      <c r="AO65" s="4">
        <v>-1</v>
      </c>
      <c r="AP65" s="4">
        <v>-1</v>
      </c>
    </row>
    <row r="66" spans="1:42">
      <c r="A66" s="20">
        <v>1.5</v>
      </c>
      <c r="B66" s="4">
        <v>1</v>
      </c>
      <c r="C66" s="4">
        <v>1</v>
      </c>
      <c r="D66" s="4">
        <v>1</v>
      </c>
      <c r="E66" s="4">
        <v>1</v>
      </c>
      <c r="F66" s="4">
        <v>1</v>
      </c>
      <c r="G66" s="4">
        <v>1</v>
      </c>
      <c r="H66" s="4">
        <v>1</v>
      </c>
      <c r="I66" s="4">
        <v>1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4">
        <v>-1</v>
      </c>
      <c r="R66" s="4">
        <v>-1</v>
      </c>
      <c r="S66" s="4">
        <v>-1</v>
      </c>
      <c r="T66" s="4">
        <v>-1</v>
      </c>
      <c r="U66" s="4">
        <v>-1</v>
      </c>
      <c r="V66" s="4">
        <v>-1</v>
      </c>
      <c r="W66" s="4">
        <v>-1</v>
      </c>
      <c r="X66" s="4">
        <v>-1</v>
      </c>
      <c r="Y66" s="4">
        <v>-1</v>
      </c>
      <c r="Z66" s="4">
        <v>-1</v>
      </c>
      <c r="AA66" s="4">
        <v>-1</v>
      </c>
      <c r="AB66" s="4">
        <v>-1</v>
      </c>
      <c r="AC66" s="4">
        <v>-1</v>
      </c>
      <c r="AD66" s="4">
        <v>-1</v>
      </c>
      <c r="AE66" s="4">
        <v>-1</v>
      </c>
      <c r="AF66" s="4">
        <v>-1</v>
      </c>
      <c r="AG66" s="4">
        <v>-1</v>
      </c>
      <c r="AH66" s="4">
        <v>-1</v>
      </c>
      <c r="AI66" s="4">
        <v>-1</v>
      </c>
      <c r="AJ66" s="4">
        <v>-1</v>
      </c>
      <c r="AK66" s="4">
        <v>-1</v>
      </c>
      <c r="AL66" s="4">
        <v>-1</v>
      </c>
      <c r="AM66" s="4">
        <v>-1</v>
      </c>
      <c r="AN66" s="4">
        <v>-1</v>
      </c>
      <c r="AO66" s="4">
        <v>-1</v>
      </c>
      <c r="AP66" s="4">
        <v>-1</v>
      </c>
    </row>
    <row r="67" spans="1:42">
      <c r="A67" s="28">
        <v>1.4</v>
      </c>
      <c r="B67" s="4">
        <v>1</v>
      </c>
      <c r="C67" s="4">
        <v>1</v>
      </c>
      <c r="D67" s="4">
        <v>1</v>
      </c>
      <c r="E67" s="4">
        <v>1</v>
      </c>
      <c r="F67" s="4">
        <v>1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-1</v>
      </c>
      <c r="S67" s="4">
        <v>-1</v>
      </c>
      <c r="T67" s="4">
        <v>-1</v>
      </c>
      <c r="U67" s="4">
        <v>-1</v>
      </c>
      <c r="V67" s="4">
        <v>-1</v>
      </c>
      <c r="W67" s="4">
        <v>-1</v>
      </c>
      <c r="X67" s="4">
        <v>-1</v>
      </c>
      <c r="Y67" s="4">
        <v>-1</v>
      </c>
      <c r="Z67" s="4">
        <v>-1</v>
      </c>
      <c r="AA67" s="4">
        <v>-1</v>
      </c>
      <c r="AB67" s="4">
        <v>-1</v>
      </c>
      <c r="AC67" s="4">
        <v>-1</v>
      </c>
      <c r="AD67" s="4">
        <v>-1</v>
      </c>
      <c r="AE67" s="4">
        <v>-1</v>
      </c>
      <c r="AF67" s="4">
        <v>-1</v>
      </c>
      <c r="AG67" s="4">
        <v>-1</v>
      </c>
      <c r="AH67" s="4">
        <v>-1</v>
      </c>
      <c r="AI67" s="4">
        <v>-1</v>
      </c>
      <c r="AJ67" s="4">
        <v>-1</v>
      </c>
      <c r="AK67" s="4">
        <v>-1</v>
      </c>
      <c r="AL67" s="4">
        <v>-1</v>
      </c>
      <c r="AM67" s="4">
        <v>-1</v>
      </c>
      <c r="AN67" s="4">
        <v>-1</v>
      </c>
      <c r="AO67" s="4">
        <v>-1</v>
      </c>
      <c r="AP67" s="4">
        <v>-1</v>
      </c>
    </row>
    <row r="68" spans="1:42">
      <c r="A68" s="20">
        <v>1.3</v>
      </c>
      <c r="B68" s="4">
        <v>1</v>
      </c>
      <c r="C68" s="4">
        <v>1</v>
      </c>
      <c r="D68" s="4">
        <v>1</v>
      </c>
      <c r="E68" s="4">
        <v>1</v>
      </c>
      <c r="F68" s="4">
        <v>1</v>
      </c>
      <c r="G68" s="4">
        <v>1</v>
      </c>
      <c r="H68" s="4">
        <v>1</v>
      </c>
      <c r="I68" s="4">
        <v>1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-1</v>
      </c>
      <c r="S68" s="4">
        <v>-1</v>
      </c>
      <c r="T68" s="4">
        <v>-1</v>
      </c>
      <c r="U68" s="4">
        <v>-1</v>
      </c>
      <c r="V68" s="4">
        <v>-1</v>
      </c>
      <c r="W68" s="4">
        <v>-1</v>
      </c>
      <c r="X68" s="4">
        <v>-1</v>
      </c>
      <c r="Y68" s="4">
        <v>-1</v>
      </c>
      <c r="Z68" s="4">
        <v>-1</v>
      </c>
      <c r="AA68" s="4">
        <v>-1</v>
      </c>
      <c r="AB68" s="4">
        <v>-1</v>
      </c>
      <c r="AC68" s="4">
        <v>-1</v>
      </c>
      <c r="AD68" s="4">
        <v>-1</v>
      </c>
      <c r="AE68" s="4">
        <v>-1</v>
      </c>
      <c r="AF68" s="4">
        <v>-1</v>
      </c>
      <c r="AG68" s="4">
        <v>-1</v>
      </c>
      <c r="AH68" s="4">
        <v>-1</v>
      </c>
      <c r="AI68" s="4">
        <v>-1</v>
      </c>
      <c r="AJ68" s="4">
        <v>-1</v>
      </c>
      <c r="AK68" s="4">
        <v>-1</v>
      </c>
      <c r="AL68" s="4">
        <v>-1</v>
      </c>
      <c r="AM68" s="4">
        <v>-1</v>
      </c>
      <c r="AN68" s="4">
        <v>-1</v>
      </c>
      <c r="AO68" s="4">
        <v>-1</v>
      </c>
      <c r="AP68" s="4">
        <v>-1</v>
      </c>
    </row>
    <row r="69" spans="1:42">
      <c r="A69" s="28">
        <v>1.2</v>
      </c>
      <c r="B69" s="4">
        <v>1</v>
      </c>
      <c r="C69" s="4">
        <v>1</v>
      </c>
      <c r="D69" s="4">
        <v>1</v>
      </c>
      <c r="E69" s="4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-1</v>
      </c>
      <c r="T69" s="4">
        <v>-1</v>
      </c>
      <c r="U69" s="4">
        <v>-1</v>
      </c>
      <c r="V69" s="4">
        <v>-1</v>
      </c>
      <c r="W69" s="4">
        <v>-1</v>
      </c>
      <c r="X69" s="4">
        <v>-1</v>
      </c>
      <c r="Y69" s="4">
        <v>-1</v>
      </c>
      <c r="Z69" s="4">
        <v>-1</v>
      </c>
      <c r="AA69" s="4">
        <v>-1</v>
      </c>
      <c r="AB69" s="4">
        <v>-1</v>
      </c>
      <c r="AC69" s="4">
        <v>-1</v>
      </c>
      <c r="AD69" s="4">
        <v>-1</v>
      </c>
      <c r="AE69" s="4">
        <v>-1</v>
      </c>
      <c r="AF69" s="4">
        <v>-1</v>
      </c>
      <c r="AG69" s="4">
        <v>-1</v>
      </c>
      <c r="AH69" s="4">
        <v>-1</v>
      </c>
      <c r="AI69" s="4">
        <v>-1</v>
      </c>
      <c r="AJ69" s="4">
        <v>-1</v>
      </c>
      <c r="AK69" s="4">
        <v>-1</v>
      </c>
      <c r="AL69" s="4">
        <v>-1</v>
      </c>
      <c r="AM69" s="4">
        <v>-1</v>
      </c>
      <c r="AN69" s="4">
        <v>-1</v>
      </c>
      <c r="AO69" s="4">
        <v>-1</v>
      </c>
      <c r="AP69" s="4">
        <v>-1</v>
      </c>
    </row>
    <row r="70" spans="1:42">
      <c r="A70" s="20">
        <v>1.1000000000000001</v>
      </c>
      <c r="B70" s="4">
        <v>1</v>
      </c>
      <c r="C70" s="4">
        <v>1</v>
      </c>
      <c r="D70" s="4">
        <v>1</v>
      </c>
      <c r="E70" s="4">
        <v>1</v>
      </c>
      <c r="F70" s="4">
        <v>1</v>
      </c>
      <c r="G70" s="4">
        <v>1</v>
      </c>
      <c r="H70" s="4">
        <v>1</v>
      </c>
      <c r="I70" s="4">
        <v>1</v>
      </c>
      <c r="J70" s="4">
        <v>1</v>
      </c>
      <c r="K70" s="4">
        <v>1</v>
      </c>
      <c r="L70" s="4">
        <v>1</v>
      </c>
      <c r="M70" s="4">
        <v>1</v>
      </c>
      <c r="N70" s="4">
        <v>1</v>
      </c>
      <c r="O70" s="4">
        <v>1</v>
      </c>
      <c r="P70" s="4">
        <v>1</v>
      </c>
      <c r="Q70" s="4">
        <v>1</v>
      </c>
      <c r="R70" s="4">
        <v>1</v>
      </c>
      <c r="S70" s="4">
        <v>-1</v>
      </c>
      <c r="T70" s="4">
        <v>-1</v>
      </c>
      <c r="U70" s="4">
        <v>-1</v>
      </c>
      <c r="V70" s="4">
        <v>-1</v>
      </c>
      <c r="W70" s="4">
        <v>-1</v>
      </c>
      <c r="X70" s="4">
        <v>-1</v>
      </c>
      <c r="Y70" s="4">
        <v>-1</v>
      </c>
      <c r="Z70" s="4">
        <v>-1</v>
      </c>
      <c r="AA70" s="4">
        <v>-1</v>
      </c>
      <c r="AB70" s="4">
        <v>-1</v>
      </c>
      <c r="AC70" s="4">
        <v>-1</v>
      </c>
      <c r="AD70" s="4">
        <v>-1</v>
      </c>
      <c r="AE70" s="4">
        <v>-1</v>
      </c>
      <c r="AF70" s="4">
        <v>-1</v>
      </c>
      <c r="AG70" s="4">
        <v>-1</v>
      </c>
      <c r="AH70" s="4">
        <v>-1</v>
      </c>
      <c r="AI70" s="4">
        <v>-1</v>
      </c>
      <c r="AJ70" s="4">
        <v>-1</v>
      </c>
      <c r="AK70" s="4">
        <v>-1</v>
      </c>
      <c r="AL70" s="4">
        <v>-1</v>
      </c>
      <c r="AM70" s="4">
        <v>-1</v>
      </c>
      <c r="AN70" s="4">
        <v>-1</v>
      </c>
      <c r="AO70" s="4">
        <v>-1</v>
      </c>
      <c r="AP70" s="4">
        <v>-1</v>
      </c>
    </row>
    <row r="71" spans="1:42">
      <c r="A71" s="28">
        <v>1</v>
      </c>
      <c r="B71" s="4">
        <v>1</v>
      </c>
      <c r="C71" s="4">
        <v>1</v>
      </c>
      <c r="D71" s="4">
        <v>1</v>
      </c>
      <c r="E71" s="4">
        <v>1</v>
      </c>
      <c r="F71" s="4">
        <v>1</v>
      </c>
      <c r="G71" s="4">
        <v>1</v>
      </c>
      <c r="H71" s="4">
        <v>1</v>
      </c>
      <c r="I71" s="4">
        <v>1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-1</v>
      </c>
      <c r="U71" s="4">
        <v>-1</v>
      </c>
      <c r="V71" s="4">
        <v>-1</v>
      </c>
      <c r="W71" s="4">
        <v>-1</v>
      </c>
      <c r="X71" s="4">
        <v>-1</v>
      </c>
      <c r="Y71" s="4">
        <v>-1</v>
      </c>
      <c r="Z71" s="4">
        <v>-1</v>
      </c>
      <c r="AA71" s="4">
        <v>-1</v>
      </c>
      <c r="AB71" s="4">
        <v>-1</v>
      </c>
      <c r="AC71" s="4">
        <v>-1</v>
      </c>
      <c r="AD71" s="4">
        <v>-1</v>
      </c>
      <c r="AE71" s="4">
        <v>-1</v>
      </c>
      <c r="AF71" s="4">
        <v>-1</v>
      </c>
      <c r="AG71" s="4">
        <v>-1</v>
      </c>
      <c r="AH71" s="4">
        <v>-1</v>
      </c>
      <c r="AI71" s="4">
        <v>-1</v>
      </c>
      <c r="AJ71" s="4">
        <v>-1</v>
      </c>
      <c r="AK71" s="4">
        <v>-1</v>
      </c>
      <c r="AL71" s="4">
        <v>-1</v>
      </c>
      <c r="AM71" s="4">
        <v>-1</v>
      </c>
      <c r="AN71" s="4">
        <v>-1</v>
      </c>
      <c r="AO71" s="4">
        <v>-1</v>
      </c>
      <c r="AP71" s="4">
        <v>-1</v>
      </c>
    </row>
    <row r="72" spans="1:42">
      <c r="A72" s="20">
        <v>0.9</v>
      </c>
      <c r="B72" s="4">
        <v>1</v>
      </c>
      <c r="C72" s="4">
        <v>1</v>
      </c>
      <c r="D72" s="4">
        <v>1</v>
      </c>
      <c r="E72" s="4">
        <v>1</v>
      </c>
      <c r="F72" s="4">
        <v>1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-1</v>
      </c>
      <c r="U72" s="4">
        <v>-1</v>
      </c>
      <c r="V72" s="4">
        <v>-1</v>
      </c>
      <c r="W72" s="4">
        <v>-1</v>
      </c>
      <c r="X72" s="4">
        <v>-1</v>
      </c>
      <c r="Y72" s="4">
        <v>-1</v>
      </c>
      <c r="Z72" s="4">
        <v>-1</v>
      </c>
      <c r="AA72" s="4">
        <v>-1</v>
      </c>
      <c r="AB72" s="4">
        <v>-1</v>
      </c>
      <c r="AC72" s="4">
        <v>-1</v>
      </c>
      <c r="AD72" s="4">
        <v>-1</v>
      </c>
      <c r="AE72" s="4">
        <v>-1</v>
      </c>
      <c r="AF72" s="4">
        <v>-1</v>
      </c>
      <c r="AG72" s="4">
        <v>-1</v>
      </c>
      <c r="AH72" s="4">
        <v>-1</v>
      </c>
      <c r="AI72" s="4">
        <v>-1</v>
      </c>
      <c r="AJ72" s="4">
        <v>-1</v>
      </c>
      <c r="AK72" s="4">
        <v>-1</v>
      </c>
      <c r="AL72" s="4">
        <v>-1</v>
      </c>
      <c r="AM72" s="4">
        <v>-1</v>
      </c>
      <c r="AN72" s="4">
        <v>-1</v>
      </c>
      <c r="AO72" s="4">
        <v>-1</v>
      </c>
      <c r="AP72" s="4">
        <v>-1</v>
      </c>
    </row>
    <row r="73" spans="1:42">
      <c r="A73" s="28">
        <v>0.8</v>
      </c>
      <c r="B73" s="4">
        <v>1</v>
      </c>
      <c r="C73" s="4">
        <v>1</v>
      </c>
      <c r="D73" s="4">
        <v>1</v>
      </c>
      <c r="E73" s="4">
        <v>1</v>
      </c>
      <c r="F73" s="4">
        <v>1</v>
      </c>
      <c r="G73" s="4">
        <v>1</v>
      </c>
      <c r="H73" s="4">
        <v>1</v>
      </c>
      <c r="I73" s="4">
        <v>1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-1</v>
      </c>
      <c r="V73" s="4">
        <v>-1</v>
      </c>
      <c r="W73" s="4">
        <v>-1</v>
      </c>
      <c r="X73" s="4">
        <v>-1</v>
      </c>
      <c r="Y73" s="4">
        <v>-1</v>
      </c>
      <c r="Z73" s="4">
        <v>-1</v>
      </c>
      <c r="AA73" s="4">
        <v>-1</v>
      </c>
      <c r="AB73" s="4">
        <v>-1</v>
      </c>
      <c r="AC73" s="4">
        <v>-1</v>
      </c>
      <c r="AD73" s="4">
        <v>-1</v>
      </c>
      <c r="AE73" s="4">
        <v>-1</v>
      </c>
      <c r="AF73" s="4">
        <v>-1</v>
      </c>
      <c r="AG73" s="4">
        <v>-1</v>
      </c>
      <c r="AH73" s="4">
        <v>-1</v>
      </c>
      <c r="AI73" s="4">
        <v>-1</v>
      </c>
      <c r="AJ73" s="4">
        <v>-1</v>
      </c>
      <c r="AK73" s="4">
        <v>-1</v>
      </c>
      <c r="AL73" s="4">
        <v>-1</v>
      </c>
      <c r="AM73" s="4">
        <v>-1</v>
      </c>
      <c r="AN73" s="4">
        <v>-1</v>
      </c>
      <c r="AO73" s="4">
        <v>-1</v>
      </c>
      <c r="AP73" s="4">
        <v>-1</v>
      </c>
    </row>
    <row r="74" spans="1:42">
      <c r="A74" s="20">
        <v>0.7</v>
      </c>
      <c r="B74" s="4">
        <v>1</v>
      </c>
      <c r="C74" s="4">
        <v>1</v>
      </c>
      <c r="D74" s="4">
        <v>1</v>
      </c>
      <c r="E74" s="4">
        <v>1</v>
      </c>
      <c r="F74" s="4">
        <v>1</v>
      </c>
      <c r="G74" s="4">
        <v>1</v>
      </c>
      <c r="H74" s="4">
        <v>1</v>
      </c>
      <c r="I74" s="4">
        <v>1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-1</v>
      </c>
      <c r="V74" s="4">
        <v>-1</v>
      </c>
      <c r="W74" s="4">
        <v>-1</v>
      </c>
      <c r="X74" s="4">
        <v>-1</v>
      </c>
      <c r="Y74" s="4">
        <v>-1</v>
      </c>
      <c r="Z74" s="4">
        <v>-1</v>
      </c>
      <c r="AA74" s="4">
        <v>-1</v>
      </c>
      <c r="AB74" s="4">
        <v>-1</v>
      </c>
      <c r="AC74" s="4">
        <v>-1</v>
      </c>
      <c r="AD74" s="4">
        <v>-1</v>
      </c>
      <c r="AE74" s="4">
        <v>-1</v>
      </c>
      <c r="AF74" s="4">
        <v>-1</v>
      </c>
      <c r="AG74" s="4">
        <v>-1</v>
      </c>
      <c r="AH74" s="4">
        <v>-1</v>
      </c>
      <c r="AI74" s="4">
        <v>-1</v>
      </c>
      <c r="AJ74" s="4">
        <v>-1</v>
      </c>
      <c r="AK74" s="4">
        <v>-1</v>
      </c>
      <c r="AL74" s="4">
        <v>-1</v>
      </c>
      <c r="AM74" s="4">
        <v>-1</v>
      </c>
      <c r="AN74" s="4">
        <v>-1</v>
      </c>
      <c r="AO74" s="4">
        <v>-1</v>
      </c>
      <c r="AP74" s="4">
        <v>-1</v>
      </c>
    </row>
    <row r="75" spans="1:42">
      <c r="A75" s="28">
        <v>0.6</v>
      </c>
      <c r="B75" s="4">
        <v>1</v>
      </c>
      <c r="C75" s="4">
        <v>1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-1</v>
      </c>
      <c r="V75" s="4">
        <v>-1</v>
      </c>
      <c r="W75" s="4">
        <v>-1</v>
      </c>
      <c r="X75" s="4">
        <v>-1</v>
      </c>
      <c r="Y75" s="4">
        <v>-1</v>
      </c>
      <c r="Z75" s="4">
        <v>-1</v>
      </c>
      <c r="AA75" s="4">
        <v>-1</v>
      </c>
      <c r="AB75" s="4">
        <v>-1</v>
      </c>
      <c r="AC75" s="4">
        <v>-1</v>
      </c>
      <c r="AD75" s="4">
        <v>-1</v>
      </c>
      <c r="AE75" s="4">
        <v>-1</v>
      </c>
      <c r="AF75" s="4">
        <v>-1</v>
      </c>
      <c r="AG75" s="4">
        <v>-1</v>
      </c>
      <c r="AH75" s="4">
        <v>-1</v>
      </c>
      <c r="AI75" s="4">
        <v>-1</v>
      </c>
      <c r="AJ75" s="4">
        <v>-1</v>
      </c>
      <c r="AK75" s="4">
        <v>-1</v>
      </c>
      <c r="AL75" s="4">
        <v>-1</v>
      </c>
      <c r="AM75" s="4">
        <v>-1</v>
      </c>
      <c r="AN75" s="4">
        <v>-1</v>
      </c>
      <c r="AO75" s="4">
        <v>-1</v>
      </c>
      <c r="AP75" s="4">
        <v>-1</v>
      </c>
    </row>
    <row r="76" spans="1:42">
      <c r="A76" s="20">
        <v>0.5</v>
      </c>
      <c r="B76" s="4">
        <v>1</v>
      </c>
      <c r="C76" s="4">
        <v>1</v>
      </c>
      <c r="D76" s="4">
        <v>1</v>
      </c>
      <c r="E76" s="4">
        <v>1</v>
      </c>
      <c r="F76" s="4">
        <v>1</v>
      </c>
      <c r="G76" s="4">
        <v>1</v>
      </c>
      <c r="H76" s="4">
        <v>1</v>
      </c>
      <c r="I76" s="4">
        <v>1</v>
      </c>
      <c r="J76" s="4">
        <v>1</v>
      </c>
      <c r="K76" s="4">
        <v>1</v>
      </c>
      <c r="L76" s="4">
        <v>1</v>
      </c>
      <c r="M76" s="4">
        <v>1</v>
      </c>
      <c r="N76" s="4">
        <v>1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-1</v>
      </c>
      <c r="V76" s="4">
        <v>-1</v>
      </c>
      <c r="W76" s="4">
        <v>-1</v>
      </c>
      <c r="X76" s="4">
        <v>-1</v>
      </c>
      <c r="Y76" s="4">
        <v>-1</v>
      </c>
      <c r="Z76" s="4">
        <v>-1</v>
      </c>
      <c r="AA76" s="4">
        <v>-1</v>
      </c>
      <c r="AB76" s="4">
        <v>-1</v>
      </c>
      <c r="AC76" s="4">
        <v>-1</v>
      </c>
      <c r="AD76" s="4">
        <v>-1</v>
      </c>
      <c r="AE76" s="4">
        <v>-1</v>
      </c>
      <c r="AF76" s="4">
        <v>-1</v>
      </c>
      <c r="AG76" s="4">
        <v>-1</v>
      </c>
      <c r="AH76" s="4">
        <v>-1</v>
      </c>
      <c r="AI76" s="4">
        <v>-1</v>
      </c>
      <c r="AJ76" s="4">
        <v>-1</v>
      </c>
      <c r="AK76" s="4">
        <v>-1</v>
      </c>
      <c r="AL76" s="4">
        <v>-1</v>
      </c>
      <c r="AM76" s="4">
        <v>-1</v>
      </c>
      <c r="AN76" s="4">
        <v>-1</v>
      </c>
      <c r="AO76" s="4">
        <v>-1</v>
      </c>
      <c r="AP76" s="4">
        <v>-1</v>
      </c>
    </row>
    <row r="77" spans="1:42">
      <c r="A77" s="28">
        <v>0.4</v>
      </c>
      <c r="B77" s="4">
        <v>1</v>
      </c>
      <c r="C77" s="4">
        <v>1</v>
      </c>
      <c r="D77" s="4">
        <v>1</v>
      </c>
      <c r="E77" s="4">
        <v>1</v>
      </c>
      <c r="F77" s="4">
        <v>1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-1</v>
      </c>
      <c r="V77" s="4">
        <v>-1</v>
      </c>
      <c r="W77" s="4">
        <v>-1</v>
      </c>
      <c r="X77" s="4">
        <v>-1</v>
      </c>
      <c r="Y77" s="4">
        <v>-1</v>
      </c>
      <c r="Z77" s="4">
        <v>-1</v>
      </c>
      <c r="AA77" s="4">
        <v>-1</v>
      </c>
      <c r="AB77" s="4">
        <v>-1</v>
      </c>
      <c r="AC77" s="4">
        <v>-1</v>
      </c>
      <c r="AD77" s="4">
        <v>-1</v>
      </c>
      <c r="AE77" s="4">
        <v>-1</v>
      </c>
      <c r="AF77" s="4">
        <v>-1</v>
      </c>
      <c r="AG77" s="4">
        <v>-1</v>
      </c>
      <c r="AH77" s="4">
        <v>-1</v>
      </c>
      <c r="AI77" s="4">
        <v>-1</v>
      </c>
      <c r="AJ77" s="4">
        <v>-1</v>
      </c>
      <c r="AK77" s="4">
        <v>-1</v>
      </c>
      <c r="AL77" s="4">
        <v>-1</v>
      </c>
      <c r="AM77" s="4">
        <v>-1</v>
      </c>
      <c r="AN77" s="4">
        <v>-1</v>
      </c>
      <c r="AO77" s="4">
        <v>-1</v>
      </c>
      <c r="AP77" s="4">
        <v>-1</v>
      </c>
    </row>
    <row r="78" spans="1:42">
      <c r="A78" s="20">
        <v>0.3</v>
      </c>
      <c r="B78" s="4">
        <v>1</v>
      </c>
      <c r="C78" s="4">
        <v>1</v>
      </c>
      <c r="D78" s="4">
        <v>1</v>
      </c>
      <c r="E78" s="4">
        <v>1</v>
      </c>
      <c r="F78" s="4">
        <v>1</v>
      </c>
      <c r="G78" s="4">
        <v>1</v>
      </c>
      <c r="H78" s="4">
        <v>1</v>
      </c>
      <c r="I78" s="4">
        <v>1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-1</v>
      </c>
      <c r="V78" s="4">
        <v>-1</v>
      </c>
      <c r="W78" s="4">
        <v>-1</v>
      </c>
      <c r="X78" s="4">
        <v>-1</v>
      </c>
      <c r="Y78" s="4">
        <v>-1</v>
      </c>
      <c r="Z78" s="4">
        <v>-1</v>
      </c>
      <c r="AA78" s="4">
        <v>-1</v>
      </c>
      <c r="AB78" s="4">
        <v>-1</v>
      </c>
      <c r="AC78" s="4">
        <v>-1</v>
      </c>
      <c r="AD78" s="4">
        <v>-1</v>
      </c>
      <c r="AE78" s="4">
        <v>-1</v>
      </c>
      <c r="AF78" s="4">
        <v>-1</v>
      </c>
      <c r="AG78" s="4">
        <v>-1</v>
      </c>
      <c r="AH78" s="4">
        <v>-1</v>
      </c>
      <c r="AI78" s="4">
        <v>-1</v>
      </c>
      <c r="AJ78" s="4">
        <v>-1</v>
      </c>
      <c r="AK78" s="4">
        <v>-1</v>
      </c>
      <c r="AL78" s="4">
        <v>-1</v>
      </c>
      <c r="AM78" s="4">
        <v>-1</v>
      </c>
      <c r="AN78" s="4">
        <v>-1</v>
      </c>
      <c r="AO78" s="4">
        <v>-1</v>
      </c>
      <c r="AP78" s="4">
        <v>1</v>
      </c>
    </row>
    <row r="79" spans="1:42">
      <c r="A79" s="28">
        <v>0.2</v>
      </c>
      <c r="B79" s="4">
        <v>1</v>
      </c>
      <c r="C79" s="4">
        <v>1</v>
      </c>
      <c r="D79" s="4">
        <v>1</v>
      </c>
      <c r="E79" s="4">
        <v>1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-1</v>
      </c>
      <c r="V79" s="4">
        <v>-1</v>
      </c>
      <c r="W79" s="4">
        <v>-1</v>
      </c>
      <c r="X79" s="4">
        <v>-1</v>
      </c>
      <c r="Y79" s="4">
        <v>-1</v>
      </c>
      <c r="Z79" s="4">
        <v>-1</v>
      </c>
      <c r="AA79" s="4">
        <v>-1</v>
      </c>
      <c r="AB79" s="4">
        <v>-1</v>
      </c>
      <c r="AC79" s="4">
        <v>-1</v>
      </c>
      <c r="AD79" s="4">
        <v>-1</v>
      </c>
      <c r="AE79" s="4">
        <v>-1</v>
      </c>
      <c r="AF79" s="4">
        <v>-1</v>
      </c>
      <c r="AG79" s="4">
        <v>-1</v>
      </c>
      <c r="AH79" s="4">
        <v>-1</v>
      </c>
      <c r="AI79" s="4">
        <v>-1</v>
      </c>
      <c r="AJ79" s="4">
        <v>-1</v>
      </c>
      <c r="AK79" s="4">
        <v>-1</v>
      </c>
      <c r="AL79" s="4">
        <v>-1</v>
      </c>
      <c r="AM79" s="4">
        <v>-1</v>
      </c>
      <c r="AN79" s="4">
        <v>-1</v>
      </c>
      <c r="AO79" s="4">
        <v>1</v>
      </c>
      <c r="AP79" s="4">
        <v>1</v>
      </c>
    </row>
    <row r="80" spans="1:42">
      <c r="A80" s="20">
        <v>0.1</v>
      </c>
      <c r="B80" s="4">
        <v>1</v>
      </c>
      <c r="C80" s="4">
        <v>1</v>
      </c>
      <c r="D80" s="4">
        <v>1</v>
      </c>
      <c r="E80" s="4">
        <v>1</v>
      </c>
      <c r="F80" s="4">
        <v>1</v>
      </c>
      <c r="G80" s="4">
        <v>1</v>
      </c>
      <c r="H80" s="4">
        <v>1</v>
      </c>
      <c r="I80" s="4">
        <v>1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-1</v>
      </c>
      <c r="V80" s="4">
        <v>-1</v>
      </c>
      <c r="W80" s="4">
        <v>-1</v>
      </c>
      <c r="X80" s="4">
        <v>-1</v>
      </c>
      <c r="Y80" s="4">
        <v>-1</v>
      </c>
      <c r="Z80" s="4">
        <v>-1</v>
      </c>
      <c r="AA80" s="4">
        <v>-1</v>
      </c>
      <c r="AB80" s="4">
        <v>-1</v>
      </c>
      <c r="AC80" s="4">
        <v>-1</v>
      </c>
      <c r="AD80" s="4">
        <v>-1</v>
      </c>
      <c r="AE80" s="4">
        <v>-1</v>
      </c>
      <c r="AF80" s="4">
        <v>-1</v>
      </c>
      <c r="AG80" s="4">
        <v>-1</v>
      </c>
      <c r="AH80" s="4">
        <v>-1</v>
      </c>
      <c r="AI80" s="4">
        <v>-1</v>
      </c>
      <c r="AJ80" s="4">
        <v>-1</v>
      </c>
      <c r="AK80" s="4">
        <v>-1</v>
      </c>
      <c r="AL80" s="4">
        <v>-1</v>
      </c>
      <c r="AM80" s="4">
        <v>-1</v>
      </c>
      <c r="AN80" s="4">
        <v>1</v>
      </c>
      <c r="AO80" s="4">
        <v>1</v>
      </c>
      <c r="AP80" s="4">
        <v>1</v>
      </c>
    </row>
    <row r="81" spans="1:42">
      <c r="A81" s="28">
        <v>0</v>
      </c>
      <c r="B81" s="4">
        <v>1</v>
      </c>
      <c r="C81" s="4">
        <v>1</v>
      </c>
      <c r="D81" s="4">
        <v>1</v>
      </c>
      <c r="E81" s="4">
        <v>1</v>
      </c>
      <c r="F81" s="4">
        <v>1</v>
      </c>
      <c r="G81" s="4">
        <v>1</v>
      </c>
      <c r="H81" s="4">
        <v>1</v>
      </c>
      <c r="I81" s="4">
        <v>1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-1</v>
      </c>
      <c r="V81" s="4">
        <v>-1</v>
      </c>
      <c r="W81" s="4">
        <v>-1</v>
      </c>
      <c r="X81" s="4">
        <v>-1</v>
      </c>
      <c r="Y81" s="4">
        <v>-1</v>
      </c>
      <c r="Z81" s="4">
        <v>-1</v>
      </c>
      <c r="AA81" s="4">
        <v>-1</v>
      </c>
      <c r="AB81" s="4">
        <v>-1</v>
      </c>
      <c r="AC81" s="4">
        <v>-1</v>
      </c>
      <c r="AD81" s="4">
        <v>-1</v>
      </c>
      <c r="AE81" s="4">
        <v>-1</v>
      </c>
      <c r="AF81" s="4">
        <v>-1</v>
      </c>
      <c r="AG81" s="4">
        <v>-1</v>
      </c>
      <c r="AH81" s="4">
        <v>-1</v>
      </c>
      <c r="AI81" s="4">
        <v>-1</v>
      </c>
      <c r="AJ81" s="4">
        <v>-1</v>
      </c>
      <c r="AK81" s="4">
        <v>-1</v>
      </c>
      <c r="AL81" s="4">
        <v>-1</v>
      </c>
      <c r="AM81" s="4">
        <v>1</v>
      </c>
      <c r="AN81" s="4">
        <v>1</v>
      </c>
      <c r="AO81" s="4">
        <v>1</v>
      </c>
      <c r="AP81" s="4">
        <v>1</v>
      </c>
    </row>
    <row r="82" spans="1:42">
      <c r="A82" s="20">
        <v>-0.1</v>
      </c>
      <c r="B82" s="4">
        <v>1</v>
      </c>
      <c r="C82" s="4">
        <v>1</v>
      </c>
      <c r="D82" s="4">
        <v>1</v>
      </c>
      <c r="E82" s="4">
        <v>1</v>
      </c>
      <c r="F82" s="4">
        <v>1</v>
      </c>
      <c r="G82" s="4">
        <v>1</v>
      </c>
      <c r="H82" s="4">
        <v>1</v>
      </c>
      <c r="I82" s="4">
        <v>1</v>
      </c>
      <c r="J82" s="4">
        <v>1</v>
      </c>
      <c r="K82" s="4">
        <v>1</v>
      </c>
      <c r="L82" s="4">
        <v>1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-1</v>
      </c>
      <c r="V82" s="4">
        <v>-1</v>
      </c>
      <c r="W82" s="4">
        <v>-1</v>
      </c>
      <c r="X82" s="4">
        <v>-1</v>
      </c>
      <c r="Y82" s="4">
        <v>-1</v>
      </c>
      <c r="Z82" s="4">
        <v>-1</v>
      </c>
      <c r="AA82" s="4">
        <v>-1</v>
      </c>
      <c r="AB82" s="4">
        <v>-1</v>
      </c>
      <c r="AC82" s="4">
        <v>-1</v>
      </c>
      <c r="AD82" s="4">
        <v>-1</v>
      </c>
      <c r="AE82" s="4">
        <v>-1</v>
      </c>
      <c r="AF82" s="4">
        <v>-1</v>
      </c>
      <c r="AG82" s="4">
        <v>-1</v>
      </c>
      <c r="AH82" s="4">
        <v>-1</v>
      </c>
      <c r="AI82" s="4">
        <v>-1</v>
      </c>
      <c r="AJ82" s="4">
        <v>-1</v>
      </c>
      <c r="AK82" s="4">
        <v>-1</v>
      </c>
      <c r="AL82" s="4">
        <v>1</v>
      </c>
      <c r="AM82" s="4">
        <v>1</v>
      </c>
      <c r="AN82" s="4">
        <v>1</v>
      </c>
      <c r="AO82" s="4">
        <v>1</v>
      </c>
      <c r="AP82" s="4">
        <v>1</v>
      </c>
    </row>
    <row r="83" spans="1:42">
      <c r="A83" s="28">
        <v>-0.2</v>
      </c>
      <c r="B83" s="4">
        <v>1</v>
      </c>
      <c r="C83" s="4">
        <v>1</v>
      </c>
      <c r="D83" s="4">
        <v>1</v>
      </c>
      <c r="E83" s="4">
        <v>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-1</v>
      </c>
      <c r="V83" s="4">
        <v>-1</v>
      </c>
      <c r="W83" s="4">
        <v>-1</v>
      </c>
      <c r="X83" s="4">
        <v>-1</v>
      </c>
      <c r="Y83" s="4">
        <v>-1</v>
      </c>
      <c r="Z83" s="4">
        <v>-1</v>
      </c>
      <c r="AA83" s="4">
        <v>-1</v>
      </c>
      <c r="AB83" s="4">
        <v>-1</v>
      </c>
      <c r="AC83" s="4">
        <v>-1</v>
      </c>
      <c r="AD83" s="4">
        <v>-1</v>
      </c>
      <c r="AE83" s="4">
        <v>-1</v>
      </c>
      <c r="AF83" s="4">
        <v>-1</v>
      </c>
      <c r="AG83" s="4">
        <v>-1</v>
      </c>
      <c r="AH83" s="4">
        <v>-1</v>
      </c>
      <c r="AI83" s="4">
        <v>-1</v>
      </c>
      <c r="AJ83" s="4">
        <v>-1</v>
      </c>
      <c r="AK83" s="4">
        <v>1</v>
      </c>
      <c r="AL83" s="4">
        <v>1</v>
      </c>
      <c r="AM83" s="4">
        <v>1</v>
      </c>
      <c r="AN83" s="4">
        <v>1</v>
      </c>
      <c r="AO83" s="4">
        <v>1</v>
      </c>
      <c r="AP83" s="4">
        <v>1</v>
      </c>
    </row>
    <row r="84" spans="1:42">
      <c r="A84" s="20">
        <v>-0.3</v>
      </c>
      <c r="B84" s="4">
        <v>1</v>
      </c>
      <c r="C84" s="4">
        <v>1</v>
      </c>
      <c r="D84" s="4">
        <v>1</v>
      </c>
      <c r="E84" s="4">
        <v>1</v>
      </c>
      <c r="F84" s="4">
        <v>1</v>
      </c>
      <c r="G84" s="4">
        <v>1</v>
      </c>
      <c r="H84" s="4">
        <v>1</v>
      </c>
      <c r="I84" s="4">
        <v>1</v>
      </c>
      <c r="J84" s="4">
        <v>1</v>
      </c>
      <c r="K84" s="4">
        <v>1</v>
      </c>
      <c r="L84" s="4">
        <v>1</v>
      </c>
      <c r="M84" s="4">
        <v>1</v>
      </c>
      <c r="N84" s="4">
        <v>1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-1</v>
      </c>
      <c r="U84" s="4">
        <v>-1</v>
      </c>
      <c r="V84" s="4">
        <v>-1</v>
      </c>
      <c r="W84" s="4">
        <v>-1</v>
      </c>
      <c r="X84" s="4">
        <v>-1</v>
      </c>
      <c r="Y84" s="4">
        <v>-1</v>
      </c>
      <c r="Z84" s="4">
        <v>-1</v>
      </c>
      <c r="AA84" s="4">
        <v>-1</v>
      </c>
      <c r="AB84" s="4">
        <v>-1</v>
      </c>
      <c r="AC84" s="4">
        <v>-1</v>
      </c>
      <c r="AD84" s="4">
        <v>-1</v>
      </c>
      <c r="AE84" s="4">
        <v>-1</v>
      </c>
      <c r="AF84" s="4">
        <v>-1</v>
      </c>
      <c r="AG84" s="4">
        <v>-1</v>
      </c>
      <c r="AH84" s="4">
        <v>-1</v>
      </c>
      <c r="AI84" s="4">
        <v>-1</v>
      </c>
      <c r="AJ84" s="4">
        <v>1</v>
      </c>
      <c r="AK84" s="4">
        <v>1</v>
      </c>
      <c r="AL84" s="4">
        <v>1</v>
      </c>
      <c r="AM84" s="4">
        <v>1</v>
      </c>
      <c r="AN84" s="4">
        <v>1</v>
      </c>
      <c r="AO84" s="4">
        <v>1</v>
      </c>
      <c r="AP84" s="4">
        <v>1</v>
      </c>
    </row>
    <row r="85" spans="1:42">
      <c r="A85" s="28">
        <v>-0.4</v>
      </c>
      <c r="B85" s="4">
        <v>1</v>
      </c>
      <c r="C85" s="4">
        <v>1</v>
      </c>
      <c r="D85" s="4">
        <v>1</v>
      </c>
      <c r="E85" s="4">
        <v>1</v>
      </c>
      <c r="F85" s="4">
        <v>1</v>
      </c>
      <c r="G85" s="4">
        <v>1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-1</v>
      </c>
      <c r="U85" s="4">
        <v>-1</v>
      </c>
      <c r="V85" s="4">
        <v>-1</v>
      </c>
      <c r="W85" s="4">
        <v>-1</v>
      </c>
      <c r="X85" s="4">
        <v>-1</v>
      </c>
      <c r="Y85" s="4">
        <v>-1</v>
      </c>
      <c r="Z85" s="4">
        <v>-1</v>
      </c>
      <c r="AA85" s="4">
        <v>-1</v>
      </c>
      <c r="AB85" s="4">
        <v>-1</v>
      </c>
      <c r="AC85" s="4">
        <v>-1</v>
      </c>
      <c r="AD85" s="4">
        <v>-1</v>
      </c>
      <c r="AE85" s="4">
        <v>-1</v>
      </c>
      <c r="AF85" s="4">
        <v>-1</v>
      </c>
      <c r="AG85" s="4">
        <v>-1</v>
      </c>
      <c r="AH85" s="4">
        <v>-1</v>
      </c>
      <c r="AI85" s="4">
        <v>1</v>
      </c>
      <c r="AJ85" s="4">
        <v>1</v>
      </c>
      <c r="AK85" s="4">
        <v>1</v>
      </c>
      <c r="AL85" s="4">
        <v>1</v>
      </c>
      <c r="AM85" s="4">
        <v>1</v>
      </c>
      <c r="AN85" s="4">
        <v>1</v>
      </c>
      <c r="AO85" s="4">
        <v>1</v>
      </c>
      <c r="AP85" s="4">
        <v>1</v>
      </c>
    </row>
    <row r="86" spans="1:42">
      <c r="A86" s="20">
        <v>-0.5</v>
      </c>
      <c r="B86" s="4">
        <v>1</v>
      </c>
      <c r="C86" s="4">
        <v>1</v>
      </c>
      <c r="D86" s="4">
        <v>1</v>
      </c>
      <c r="E86" s="4">
        <v>1</v>
      </c>
      <c r="F86" s="4">
        <v>1</v>
      </c>
      <c r="G86" s="4">
        <v>1</v>
      </c>
      <c r="H86" s="4">
        <v>1</v>
      </c>
      <c r="I86" s="4">
        <v>1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-1</v>
      </c>
      <c r="U86" s="4">
        <v>-1</v>
      </c>
      <c r="V86" s="4">
        <v>-1</v>
      </c>
      <c r="W86" s="4">
        <v>-1</v>
      </c>
      <c r="X86" s="4">
        <v>-1</v>
      </c>
      <c r="Y86" s="4">
        <v>-1</v>
      </c>
      <c r="Z86" s="4">
        <v>-1</v>
      </c>
      <c r="AA86" s="4">
        <v>-1</v>
      </c>
      <c r="AB86" s="4">
        <v>-1</v>
      </c>
      <c r="AC86" s="4">
        <v>-1</v>
      </c>
      <c r="AD86" s="4">
        <v>-1</v>
      </c>
      <c r="AE86" s="4">
        <v>-1</v>
      </c>
      <c r="AF86" s="4">
        <v>-1</v>
      </c>
      <c r="AG86" s="4">
        <v>-1</v>
      </c>
      <c r="AH86" s="4">
        <v>1</v>
      </c>
      <c r="AI86" s="4">
        <v>1</v>
      </c>
      <c r="AJ86" s="4">
        <v>1</v>
      </c>
      <c r="AK86" s="4">
        <v>1</v>
      </c>
      <c r="AL86" s="4">
        <v>1</v>
      </c>
      <c r="AM86" s="4">
        <v>1</v>
      </c>
      <c r="AN86" s="4">
        <v>1</v>
      </c>
      <c r="AO86" s="4">
        <v>1</v>
      </c>
      <c r="AP86" s="4">
        <v>1</v>
      </c>
    </row>
    <row r="87" spans="1:42">
      <c r="A87" s="28">
        <v>-0.6</v>
      </c>
      <c r="B87" s="4">
        <v>1</v>
      </c>
      <c r="C87" s="4">
        <v>1</v>
      </c>
      <c r="D87" s="4">
        <v>1</v>
      </c>
      <c r="E87" s="4">
        <v>1</v>
      </c>
      <c r="F87" s="4">
        <v>1</v>
      </c>
      <c r="G87" s="4">
        <v>1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-1</v>
      </c>
      <c r="T87" s="4">
        <v>-1</v>
      </c>
      <c r="U87" s="4">
        <v>-1</v>
      </c>
      <c r="V87" s="4">
        <v>-1</v>
      </c>
      <c r="W87" s="4">
        <v>-1</v>
      </c>
      <c r="X87" s="4">
        <v>-1</v>
      </c>
      <c r="Y87" s="4">
        <v>-1</v>
      </c>
      <c r="Z87" s="4">
        <v>-1</v>
      </c>
      <c r="AA87" s="4">
        <v>-1</v>
      </c>
      <c r="AB87" s="4">
        <v>-1</v>
      </c>
      <c r="AC87" s="4">
        <v>-1</v>
      </c>
      <c r="AD87" s="4">
        <v>-1</v>
      </c>
      <c r="AE87" s="4">
        <v>-1</v>
      </c>
      <c r="AF87" s="4">
        <v>-1</v>
      </c>
      <c r="AG87" s="4">
        <v>1</v>
      </c>
      <c r="AH87" s="4">
        <v>1</v>
      </c>
      <c r="AI87" s="4">
        <v>1</v>
      </c>
      <c r="AJ87" s="4">
        <v>1</v>
      </c>
      <c r="AK87" s="4">
        <v>1</v>
      </c>
      <c r="AL87" s="4">
        <v>1</v>
      </c>
      <c r="AM87" s="4">
        <v>1</v>
      </c>
      <c r="AN87" s="4">
        <v>1</v>
      </c>
      <c r="AO87" s="4">
        <v>1</v>
      </c>
      <c r="AP87" s="4">
        <v>1</v>
      </c>
    </row>
    <row r="88" spans="1:42">
      <c r="A88" s="20">
        <v>-0.7</v>
      </c>
      <c r="B88" s="4">
        <v>1</v>
      </c>
      <c r="C88" s="4">
        <v>1</v>
      </c>
      <c r="D88" s="4">
        <v>1</v>
      </c>
      <c r="E88" s="4">
        <v>1</v>
      </c>
      <c r="F88" s="4">
        <v>1</v>
      </c>
      <c r="G88" s="4">
        <v>1</v>
      </c>
      <c r="H88" s="4">
        <v>1</v>
      </c>
      <c r="I88" s="4">
        <v>1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4">
        <v>-1</v>
      </c>
      <c r="T88" s="4">
        <v>-1</v>
      </c>
      <c r="U88" s="4">
        <v>-1</v>
      </c>
      <c r="V88" s="4">
        <v>-1</v>
      </c>
      <c r="W88" s="4">
        <v>-1</v>
      </c>
      <c r="X88" s="4">
        <v>-1</v>
      </c>
      <c r="Y88" s="4">
        <v>-1</v>
      </c>
      <c r="Z88" s="4">
        <v>-1</v>
      </c>
      <c r="AA88" s="4">
        <v>-1</v>
      </c>
      <c r="AB88" s="4">
        <v>-1</v>
      </c>
      <c r="AC88" s="4">
        <v>-1</v>
      </c>
      <c r="AD88" s="4">
        <v>-1</v>
      </c>
      <c r="AE88" s="4">
        <v>1</v>
      </c>
      <c r="AF88" s="4">
        <v>1</v>
      </c>
      <c r="AG88" s="4">
        <v>1</v>
      </c>
      <c r="AH88" s="4">
        <v>1</v>
      </c>
      <c r="AI88" s="4">
        <v>1</v>
      </c>
      <c r="AJ88" s="4">
        <v>1</v>
      </c>
      <c r="AK88" s="4">
        <v>1</v>
      </c>
      <c r="AL88" s="4">
        <v>1</v>
      </c>
      <c r="AM88" s="4">
        <v>1</v>
      </c>
      <c r="AN88" s="4">
        <v>1</v>
      </c>
      <c r="AO88" s="4">
        <v>1</v>
      </c>
      <c r="AP88" s="4">
        <v>1</v>
      </c>
    </row>
    <row r="89" spans="1:42">
      <c r="A89" s="28">
        <v>-0.8</v>
      </c>
      <c r="B89" s="4">
        <v>1</v>
      </c>
      <c r="C89" s="4">
        <v>1</v>
      </c>
      <c r="D89" s="4">
        <v>1</v>
      </c>
      <c r="E89" s="4">
        <v>1</v>
      </c>
      <c r="F89" s="4">
        <v>1</v>
      </c>
      <c r="G89" s="4">
        <v>1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-1</v>
      </c>
      <c r="S89" s="4">
        <v>-1</v>
      </c>
      <c r="T89" s="4">
        <v>-1</v>
      </c>
      <c r="U89" s="4">
        <v>-1</v>
      </c>
      <c r="V89" s="4">
        <v>-1</v>
      </c>
      <c r="W89" s="4">
        <v>-1</v>
      </c>
      <c r="X89" s="4">
        <v>-1</v>
      </c>
      <c r="Y89" s="4">
        <v>-1</v>
      </c>
      <c r="Z89" s="4">
        <v>-1</v>
      </c>
      <c r="AA89" s="4">
        <v>-1</v>
      </c>
      <c r="AB89" s="4">
        <v>-1</v>
      </c>
      <c r="AC89" s="4">
        <v>-1</v>
      </c>
      <c r="AD89" s="4">
        <v>1</v>
      </c>
      <c r="AE89" s="4">
        <v>1</v>
      </c>
      <c r="AF89" s="4">
        <v>1</v>
      </c>
      <c r="AG89" s="4">
        <v>1</v>
      </c>
      <c r="AH89" s="4">
        <v>1</v>
      </c>
      <c r="AI89" s="4">
        <v>1</v>
      </c>
      <c r="AJ89" s="4">
        <v>1</v>
      </c>
      <c r="AK89" s="4">
        <v>1</v>
      </c>
      <c r="AL89" s="4">
        <v>1</v>
      </c>
      <c r="AM89" s="4">
        <v>1</v>
      </c>
      <c r="AN89" s="4">
        <v>1</v>
      </c>
      <c r="AO89" s="4">
        <v>1</v>
      </c>
      <c r="AP89" s="4">
        <v>1</v>
      </c>
    </row>
    <row r="90" spans="1:42">
      <c r="A90" s="20">
        <v>-0.9</v>
      </c>
      <c r="B90" s="4">
        <v>1</v>
      </c>
      <c r="C90" s="4">
        <v>1</v>
      </c>
      <c r="D90" s="4">
        <v>1</v>
      </c>
      <c r="E90" s="4">
        <v>1</v>
      </c>
      <c r="F90" s="4">
        <v>1</v>
      </c>
      <c r="G90" s="4">
        <v>1</v>
      </c>
      <c r="H90" s="4">
        <v>1</v>
      </c>
      <c r="I90" s="4">
        <v>1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-1</v>
      </c>
      <c r="S90" s="4">
        <v>-1</v>
      </c>
      <c r="T90" s="4">
        <v>-1</v>
      </c>
      <c r="U90" s="4">
        <v>-1</v>
      </c>
      <c r="V90" s="4">
        <v>-1</v>
      </c>
      <c r="W90" s="4">
        <v>-1</v>
      </c>
      <c r="X90" s="4">
        <v>-1</v>
      </c>
      <c r="Y90" s="4">
        <v>-1</v>
      </c>
      <c r="Z90" s="4">
        <v>-1</v>
      </c>
      <c r="AA90" s="4">
        <v>-1</v>
      </c>
      <c r="AB90" s="4">
        <v>-1</v>
      </c>
      <c r="AC90" s="4">
        <v>1</v>
      </c>
      <c r="AD90" s="4">
        <v>1</v>
      </c>
      <c r="AE90" s="4">
        <v>1</v>
      </c>
      <c r="AF90" s="4">
        <v>1</v>
      </c>
      <c r="AG90" s="4">
        <v>1</v>
      </c>
      <c r="AH90" s="4">
        <v>1</v>
      </c>
      <c r="AI90" s="4">
        <v>1</v>
      </c>
      <c r="AJ90" s="4">
        <v>1</v>
      </c>
      <c r="AK90" s="4">
        <v>1</v>
      </c>
      <c r="AL90" s="4">
        <v>1</v>
      </c>
      <c r="AM90" s="4">
        <v>1</v>
      </c>
      <c r="AN90" s="4">
        <v>1</v>
      </c>
      <c r="AO90" s="4">
        <v>1</v>
      </c>
      <c r="AP90" s="4">
        <v>1</v>
      </c>
    </row>
    <row r="91" spans="1:42">
      <c r="A91" s="28">
        <v>-1</v>
      </c>
      <c r="B91" s="4">
        <v>1</v>
      </c>
      <c r="C91" s="4">
        <v>1</v>
      </c>
      <c r="D91" s="4">
        <v>1</v>
      </c>
      <c r="E91" s="4">
        <v>1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-1</v>
      </c>
      <c r="R91" s="4">
        <v>-1</v>
      </c>
      <c r="S91" s="4">
        <v>-1</v>
      </c>
      <c r="T91" s="4">
        <v>-1</v>
      </c>
      <c r="U91" s="4">
        <v>-1</v>
      </c>
      <c r="V91" s="4">
        <v>-1</v>
      </c>
      <c r="W91" s="4">
        <v>-1</v>
      </c>
      <c r="X91" s="4">
        <v>-1</v>
      </c>
      <c r="Y91" s="4">
        <v>-1</v>
      </c>
      <c r="Z91" s="4">
        <v>-1</v>
      </c>
      <c r="AA91" s="4">
        <v>-1</v>
      </c>
      <c r="AB91" s="4">
        <v>1</v>
      </c>
      <c r="AC91" s="4">
        <v>1</v>
      </c>
      <c r="AD91" s="4">
        <v>1</v>
      </c>
      <c r="AE91" s="4">
        <v>1</v>
      </c>
      <c r="AF91" s="4">
        <v>1</v>
      </c>
      <c r="AG91" s="4">
        <v>1</v>
      </c>
      <c r="AH91" s="4">
        <v>1</v>
      </c>
      <c r="AI91" s="4">
        <v>1</v>
      </c>
      <c r="AJ91" s="4">
        <v>1</v>
      </c>
      <c r="AK91" s="4">
        <v>1</v>
      </c>
      <c r="AL91" s="4">
        <v>1</v>
      </c>
      <c r="AM91" s="4">
        <v>1</v>
      </c>
      <c r="AN91" s="4">
        <v>1</v>
      </c>
      <c r="AO91" s="4">
        <v>1</v>
      </c>
      <c r="AP91" s="4">
        <v>1</v>
      </c>
    </row>
    <row r="92" spans="1:42">
      <c r="A92" s="20">
        <v>-1.1000000000000001</v>
      </c>
      <c r="B92" s="4">
        <v>1</v>
      </c>
      <c r="C92" s="4">
        <v>1</v>
      </c>
      <c r="D92" s="4">
        <v>1</v>
      </c>
      <c r="E92" s="4">
        <v>1</v>
      </c>
      <c r="F92" s="4">
        <v>1</v>
      </c>
      <c r="G92" s="4">
        <v>1</v>
      </c>
      <c r="H92" s="4">
        <v>1</v>
      </c>
      <c r="I92" s="4">
        <v>1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-1</v>
      </c>
      <c r="Q92" s="4">
        <v>-1</v>
      </c>
      <c r="R92" s="4">
        <v>-1</v>
      </c>
      <c r="S92" s="4">
        <v>-1</v>
      </c>
      <c r="T92" s="4">
        <v>-1</v>
      </c>
      <c r="U92" s="4">
        <v>-1</v>
      </c>
      <c r="V92" s="4">
        <v>-1</v>
      </c>
      <c r="W92" s="4">
        <v>-1</v>
      </c>
      <c r="X92" s="4">
        <v>-1</v>
      </c>
      <c r="Y92" s="4">
        <v>-1</v>
      </c>
      <c r="Z92" s="4">
        <v>-1</v>
      </c>
      <c r="AA92" s="4">
        <v>1</v>
      </c>
      <c r="AB92" s="4">
        <v>1</v>
      </c>
      <c r="AC92" s="4">
        <v>1</v>
      </c>
      <c r="AD92" s="4">
        <v>1</v>
      </c>
      <c r="AE92" s="4">
        <v>1</v>
      </c>
      <c r="AF92" s="4">
        <v>1</v>
      </c>
      <c r="AG92" s="4">
        <v>1</v>
      </c>
      <c r="AH92" s="4">
        <v>1</v>
      </c>
      <c r="AI92" s="4">
        <v>1</v>
      </c>
      <c r="AJ92" s="4">
        <v>1</v>
      </c>
      <c r="AK92" s="4">
        <v>1</v>
      </c>
      <c r="AL92" s="4">
        <v>1</v>
      </c>
      <c r="AM92" s="4">
        <v>1</v>
      </c>
      <c r="AN92" s="4">
        <v>1</v>
      </c>
      <c r="AO92" s="4">
        <v>1</v>
      </c>
      <c r="AP92" s="4">
        <v>1</v>
      </c>
    </row>
    <row r="93" spans="1:42">
      <c r="A93" s="28">
        <v>-1.2</v>
      </c>
      <c r="B93" s="4">
        <v>1</v>
      </c>
      <c r="C93" s="4">
        <v>1</v>
      </c>
      <c r="D93" s="4">
        <v>1</v>
      </c>
      <c r="E93" s="4">
        <v>1</v>
      </c>
      <c r="F93" s="4">
        <v>1</v>
      </c>
      <c r="G93" s="4">
        <v>1</v>
      </c>
      <c r="H93" s="4">
        <v>1</v>
      </c>
      <c r="I93" s="4">
        <v>1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-1</v>
      </c>
      <c r="P93" s="4">
        <v>-1</v>
      </c>
      <c r="Q93" s="4">
        <v>-1</v>
      </c>
      <c r="R93" s="4">
        <v>-1</v>
      </c>
      <c r="S93" s="4">
        <v>-1</v>
      </c>
      <c r="T93" s="4">
        <v>-1</v>
      </c>
      <c r="U93" s="4">
        <v>-1</v>
      </c>
      <c r="V93" s="4">
        <v>-1</v>
      </c>
      <c r="W93" s="4">
        <v>-1</v>
      </c>
      <c r="X93" s="4">
        <v>-1</v>
      </c>
      <c r="Y93" s="4">
        <v>-1</v>
      </c>
      <c r="Z93" s="4">
        <v>-1</v>
      </c>
      <c r="AA93" s="4">
        <v>1</v>
      </c>
      <c r="AB93" s="4">
        <v>1</v>
      </c>
      <c r="AC93" s="4">
        <v>1</v>
      </c>
      <c r="AD93" s="4">
        <v>1</v>
      </c>
      <c r="AE93" s="4">
        <v>1</v>
      </c>
      <c r="AF93" s="4">
        <v>1</v>
      </c>
      <c r="AG93" s="4">
        <v>1</v>
      </c>
      <c r="AH93" s="4">
        <v>1</v>
      </c>
      <c r="AI93" s="4">
        <v>1</v>
      </c>
      <c r="AJ93" s="4">
        <v>1</v>
      </c>
      <c r="AK93" s="4">
        <v>1</v>
      </c>
      <c r="AL93" s="4">
        <v>1</v>
      </c>
      <c r="AM93" s="4">
        <v>1</v>
      </c>
      <c r="AN93" s="4">
        <v>1</v>
      </c>
      <c r="AO93" s="4">
        <v>1</v>
      </c>
      <c r="AP93" s="4">
        <v>1</v>
      </c>
    </row>
    <row r="94" spans="1:42">
      <c r="A94" s="20">
        <v>-1.3</v>
      </c>
      <c r="B94" s="4">
        <v>1</v>
      </c>
      <c r="C94" s="4">
        <v>1</v>
      </c>
      <c r="D94" s="4">
        <v>1</v>
      </c>
      <c r="E94" s="4">
        <v>1</v>
      </c>
      <c r="F94" s="4">
        <v>1</v>
      </c>
      <c r="G94" s="4">
        <v>1</v>
      </c>
      <c r="H94" s="4">
        <v>1</v>
      </c>
      <c r="I94" s="4">
        <v>1</v>
      </c>
      <c r="J94" s="4">
        <v>1</v>
      </c>
      <c r="K94" s="4">
        <v>1</v>
      </c>
      <c r="L94" s="4">
        <v>1</v>
      </c>
      <c r="M94" s="4">
        <v>1</v>
      </c>
      <c r="N94" s="4">
        <v>-1</v>
      </c>
      <c r="O94" s="4">
        <v>-1</v>
      </c>
      <c r="P94" s="4">
        <v>-1</v>
      </c>
      <c r="Q94" s="4">
        <v>-1</v>
      </c>
      <c r="R94" s="4">
        <v>-1</v>
      </c>
      <c r="S94" s="4">
        <v>-1</v>
      </c>
      <c r="T94" s="4">
        <v>-1</v>
      </c>
      <c r="U94" s="4">
        <v>-1</v>
      </c>
      <c r="V94" s="4">
        <v>-1</v>
      </c>
      <c r="W94" s="4">
        <v>-1</v>
      </c>
      <c r="X94" s="4">
        <v>-1</v>
      </c>
      <c r="Y94" s="4">
        <v>-1</v>
      </c>
      <c r="Z94" s="4">
        <v>1</v>
      </c>
      <c r="AA94" s="4">
        <v>1</v>
      </c>
      <c r="AB94" s="4">
        <v>1</v>
      </c>
      <c r="AC94" s="4">
        <v>1</v>
      </c>
      <c r="AD94" s="4">
        <v>1</v>
      </c>
      <c r="AE94" s="4">
        <v>1</v>
      </c>
      <c r="AF94" s="4">
        <v>1</v>
      </c>
      <c r="AG94" s="4">
        <v>1</v>
      </c>
      <c r="AH94" s="4">
        <v>1</v>
      </c>
      <c r="AI94" s="4">
        <v>1</v>
      </c>
      <c r="AJ94" s="4">
        <v>1</v>
      </c>
      <c r="AK94" s="4">
        <v>1</v>
      </c>
      <c r="AL94" s="4">
        <v>1</v>
      </c>
      <c r="AM94" s="4">
        <v>1</v>
      </c>
      <c r="AN94" s="4">
        <v>1</v>
      </c>
      <c r="AO94" s="4">
        <v>1</v>
      </c>
      <c r="AP94" s="4">
        <v>1</v>
      </c>
    </row>
    <row r="95" spans="1:42">
      <c r="A95" s="28">
        <v>-1.4</v>
      </c>
      <c r="B95" s="4">
        <v>1</v>
      </c>
      <c r="C95" s="4">
        <v>1</v>
      </c>
      <c r="D95" s="4">
        <v>1</v>
      </c>
      <c r="E95" s="4">
        <v>1</v>
      </c>
      <c r="F95" s="4">
        <v>1</v>
      </c>
      <c r="G95" s="4">
        <v>1</v>
      </c>
      <c r="H95" s="4">
        <v>1</v>
      </c>
      <c r="I95" s="4">
        <v>1</v>
      </c>
      <c r="J95" s="4">
        <v>1</v>
      </c>
      <c r="K95" s="4">
        <v>1</v>
      </c>
      <c r="L95" s="4">
        <v>1</v>
      </c>
      <c r="M95" s="4">
        <v>-1</v>
      </c>
      <c r="N95" s="4">
        <v>-1</v>
      </c>
      <c r="O95" s="4">
        <v>-1</v>
      </c>
      <c r="P95" s="4">
        <v>-1</v>
      </c>
      <c r="Q95" s="4">
        <v>-1</v>
      </c>
      <c r="R95" s="4">
        <v>-1</v>
      </c>
      <c r="S95" s="4">
        <v>-1</v>
      </c>
      <c r="T95" s="4">
        <v>-1</v>
      </c>
      <c r="U95" s="4">
        <v>-1</v>
      </c>
      <c r="V95" s="4">
        <v>-1</v>
      </c>
      <c r="W95" s="4">
        <v>-1</v>
      </c>
      <c r="X95" s="4">
        <v>-1</v>
      </c>
      <c r="Y95" s="4">
        <v>-1</v>
      </c>
      <c r="Z95" s="4">
        <v>1</v>
      </c>
      <c r="AA95" s="4">
        <v>1</v>
      </c>
      <c r="AB95" s="4">
        <v>1</v>
      </c>
      <c r="AC95" s="4">
        <v>1</v>
      </c>
      <c r="AD95" s="4">
        <v>1</v>
      </c>
      <c r="AE95" s="4">
        <v>1</v>
      </c>
      <c r="AF95" s="4">
        <v>1</v>
      </c>
      <c r="AG95" s="4">
        <v>1</v>
      </c>
      <c r="AH95" s="4">
        <v>1</v>
      </c>
      <c r="AI95" s="4">
        <v>1</v>
      </c>
      <c r="AJ95" s="4">
        <v>1</v>
      </c>
      <c r="AK95" s="4">
        <v>1</v>
      </c>
      <c r="AL95" s="4">
        <v>1</v>
      </c>
      <c r="AM95" s="4">
        <v>1</v>
      </c>
      <c r="AN95" s="4">
        <v>1</v>
      </c>
      <c r="AO95" s="4">
        <v>1</v>
      </c>
      <c r="AP95" s="4">
        <v>1</v>
      </c>
    </row>
    <row r="96" spans="1:42">
      <c r="A96" s="20">
        <v>-1.5</v>
      </c>
      <c r="B96" s="4">
        <v>1</v>
      </c>
      <c r="C96" s="4">
        <v>1</v>
      </c>
      <c r="D96" s="4">
        <v>1</v>
      </c>
      <c r="E96" s="4">
        <v>1</v>
      </c>
      <c r="F96" s="4">
        <v>1</v>
      </c>
      <c r="G96" s="4">
        <v>1</v>
      </c>
      <c r="H96" s="4">
        <v>1</v>
      </c>
      <c r="I96" s="4">
        <v>1</v>
      </c>
      <c r="J96" s="4">
        <v>1</v>
      </c>
      <c r="K96" s="4">
        <v>1</v>
      </c>
      <c r="L96" s="4">
        <v>-1</v>
      </c>
      <c r="M96" s="4">
        <v>-1</v>
      </c>
      <c r="N96" s="4">
        <v>-1</v>
      </c>
      <c r="O96" s="4">
        <v>-1</v>
      </c>
      <c r="P96" s="4">
        <v>-1</v>
      </c>
      <c r="Q96" s="4">
        <v>-1</v>
      </c>
      <c r="R96" s="4">
        <v>-1</v>
      </c>
      <c r="S96" s="4">
        <v>-1</v>
      </c>
      <c r="T96" s="4">
        <v>-1</v>
      </c>
      <c r="U96" s="4">
        <v>-1</v>
      </c>
      <c r="V96" s="4">
        <v>-1</v>
      </c>
      <c r="W96" s="4">
        <v>-1</v>
      </c>
      <c r="X96" s="4">
        <v>-1</v>
      </c>
      <c r="Y96" s="4">
        <v>-1</v>
      </c>
      <c r="Z96" s="4">
        <v>1</v>
      </c>
      <c r="AA96" s="4">
        <v>1</v>
      </c>
      <c r="AB96" s="4">
        <v>1</v>
      </c>
      <c r="AC96" s="4">
        <v>1</v>
      </c>
      <c r="AD96" s="4">
        <v>1</v>
      </c>
      <c r="AE96" s="4">
        <v>1</v>
      </c>
      <c r="AF96" s="4">
        <v>1</v>
      </c>
      <c r="AG96" s="4">
        <v>1</v>
      </c>
      <c r="AH96" s="4">
        <v>1</v>
      </c>
      <c r="AI96" s="4">
        <v>1</v>
      </c>
      <c r="AJ96" s="4">
        <v>1</v>
      </c>
      <c r="AK96" s="4">
        <v>1</v>
      </c>
      <c r="AL96" s="4">
        <v>1</v>
      </c>
      <c r="AM96" s="4">
        <v>1</v>
      </c>
      <c r="AN96" s="4">
        <v>1</v>
      </c>
      <c r="AO96" s="4">
        <v>1</v>
      </c>
      <c r="AP96" s="4">
        <v>1</v>
      </c>
    </row>
    <row r="97" spans="1:42">
      <c r="A97" s="28">
        <v>-1.6</v>
      </c>
      <c r="B97" s="4">
        <v>1</v>
      </c>
      <c r="C97" s="4">
        <v>1</v>
      </c>
      <c r="D97" s="4">
        <v>1</v>
      </c>
      <c r="E97" s="4">
        <v>1</v>
      </c>
      <c r="F97" s="4">
        <v>1</v>
      </c>
      <c r="G97" s="4">
        <v>1</v>
      </c>
      <c r="H97" s="4">
        <v>1</v>
      </c>
      <c r="I97" s="4">
        <v>1</v>
      </c>
      <c r="J97" s="4">
        <v>-1</v>
      </c>
      <c r="K97" s="4">
        <v>-1</v>
      </c>
      <c r="L97" s="4">
        <v>-1</v>
      </c>
      <c r="M97" s="4">
        <v>-1</v>
      </c>
      <c r="N97" s="4">
        <v>-1</v>
      </c>
      <c r="O97" s="4">
        <v>-1</v>
      </c>
      <c r="P97" s="4">
        <v>-1</v>
      </c>
      <c r="Q97" s="4">
        <v>-1</v>
      </c>
      <c r="R97" s="4">
        <v>-1</v>
      </c>
      <c r="S97" s="4">
        <v>-1</v>
      </c>
      <c r="T97" s="4">
        <v>-1</v>
      </c>
      <c r="U97" s="4">
        <v>-1</v>
      </c>
      <c r="V97" s="4">
        <v>-1</v>
      </c>
      <c r="W97" s="4">
        <v>-1</v>
      </c>
      <c r="X97" s="4">
        <v>-1</v>
      </c>
      <c r="Y97" s="4">
        <v>-1</v>
      </c>
      <c r="Z97" s="4">
        <v>1</v>
      </c>
      <c r="AA97" s="4">
        <v>1</v>
      </c>
      <c r="AB97" s="4">
        <v>1</v>
      </c>
      <c r="AC97" s="4">
        <v>1</v>
      </c>
      <c r="AD97" s="4">
        <v>1</v>
      </c>
      <c r="AE97" s="4">
        <v>1</v>
      </c>
      <c r="AF97" s="4">
        <v>1</v>
      </c>
      <c r="AG97" s="4">
        <v>1</v>
      </c>
      <c r="AH97" s="4">
        <v>1</v>
      </c>
      <c r="AI97" s="4">
        <v>1</v>
      </c>
      <c r="AJ97" s="4">
        <v>1</v>
      </c>
      <c r="AK97" s="4">
        <v>1</v>
      </c>
      <c r="AL97" s="4">
        <v>1</v>
      </c>
      <c r="AM97" s="4">
        <v>1</v>
      </c>
      <c r="AN97" s="4">
        <v>1</v>
      </c>
      <c r="AO97" s="4">
        <v>1</v>
      </c>
      <c r="AP97" s="4">
        <v>1</v>
      </c>
    </row>
    <row r="98" spans="1:42">
      <c r="A98" s="20">
        <v>-1.7</v>
      </c>
      <c r="B98" s="4">
        <v>1</v>
      </c>
      <c r="C98" s="4">
        <v>1</v>
      </c>
      <c r="D98" s="4">
        <v>1</v>
      </c>
      <c r="E98" s="4">
        <v>1</v>
      </c>
      <c r="F98" s="4">
        <v>1</v>
      </c>
      <c r="G98" s="4">
        <v>1</v>
      </c>
      <c r="H98" s="4">
        <v>-1</v>
      </c>
      <c r="I98" s="4">
        <v>-1</v>
      </c>
      <c r="J98" s="4">
        <v>-1</v>
      </c>
      <c r="K98" s="4">
        <v>-1</v>
      </c>
      <c r="L98" s="4">
        <v>-1</v>
      </c>
      <c r="M98" s="4">
        <v>-1</v>
      </c>
      <c r="N98" s="4">
        <v>-1</v>
      </c>
      <c r="O98" s="4">
        <v>-1</v>
      </c>
      <c r="P98" s="4">
        <v>-1</v>
      </c>
      <c r="Q98" s="4">
        <v>-1</v>
      </c>
      <c r="R98" s="4">
        <v>-1</v>
      </c>
      <c r="S98" s="4">
        <v>-1</v>
      </c>
      <c r="T98" s="4">
        <v>-1</v>
      </c>
      <c r="U98" s="4">
        <v>-1</v>
      </c>
      <c r="V98" s="4">
        <v>-1</v>
      </c>
      <c r="W98" s="4">
        <v>-1</v>
      </c>
      <c r="X98" s="4">
        <v>-1</v>
      </c>
      <c r="Y98" s="4">
        <v>-1</v>
      </c>
      <c r="Z98" s="4">
        <v>1</v>
      </c>
      <c r="AA98" s="4">
        <v>1</v>
      </c>
      <c r="AB98" s="4">
        <v>1</v>
      </c>
      <c r="AC98" s="4">
        <v>1</v>
      </c>
      <c r="AD98" s="4">
        <v>1</v>
      </c>
      <c r="AE98" s="4">
        <v>1</v>
      </c>
      <c r="AF98" s="4">
        <v>1</v>
      </c>
      <c r="AG98" s="4">
        <v>1</v>
      </c>
      <c r="AH98" s="4">
        <v>1</v>
      </c>
      <c r="AI98" s="4">
        <v>1</v>
      </c>
      <c r="AJ98" s="4">
        <v>1</v>
      </c>
      <c r="AK98" s="4">
        <v>1</v>
      </c>
      <c r="AL98" s="4">
        <v>1</v>
      </c>
      <c r="AM98" s="4">
        <v>1</v>
      </c>
      <c r="AN98" s="4">
        <v>1</v>
      </c>
      <c r="AO98" s="4">
        <v>1</v>
      </c>
      <c r="AP98" s="4">
        <v>1</v>
      </c>
    </row>
    <row r="99" spans="1:42">
      <c r="A99" s="28">
        <v>-1.8</v>
      </c>
      <c r="B99" s="4">
        <v>1</v>
      </c>
      <c r="C99" s="4">
        <v>1</v>
      </c>
      <c r="D99" s="4">
        <v>1</v>
      </c>
      <c r="E99" s="4">
        <v>1</v>
      </c>
      <c r="F99" s="4">
        <v>1</v>
      </c>
      <c r="G99" s="4">
        <v>-1</v>
      </c>
      <c r="H99" s="4">
        <v>-1</v>
      </c>
      <c r="I99" s="4">
        <v>-1</v>
      </c>
      <c r="J99" s="4">
        <v>-1</v>
      </c>
      <c r="K99" s="4">
        <v>-1</v>
      </c>
      <c r="L99" s="4">
        <v>-1</v>
      </c>
      <c r="M99" s="4">
        <v>-1</v>
      </c>
      <c r="N99" s="4">
        <v>-1</v>
      </c>
      <c r="O99" s="4">
        <v>-1</v>
      </c>
      <c r="P99" s="4">
        <v>-1</v>
      </c>
      <c r="Q99" s="4">
        <v>-1</v>
      </c>
      <c r="R99" s="4">
        <v>-1</v>
      </c>
      <c r="S99" s="4">
        <v>-1</v>
      </c>
      <c r="T99" s="4">
        <v>-1</v>
      </c>
      <c r="U99" s="4">
        <v>-1</v>
      </c>
      <c r="V99" s="4">
        <v>-1</v>
      </c>
      <c r="W99" s="4">
        <v>-1</v>
      </c>
      <c r="X99" s="4">
        <v>-1</v>
      </c>
      <c r="Y99" s="4">
        <v>-1</v>
      </c>
      <c r="Z99" s="4">
        <v>1</v>
      </c>
      <c r="AA99" s="4">
        <v>1</v>
      </c>
      <c r="AB99" s="4">
        <v>1</v>
      </c>
      <c r="AC99" s="4">
        <v>1</v>
      </c>
      <c r="AD99" s="4">
        <v>1</v>
      </c>
      <c r="AE99" s="4">
        <v>1</v>
      </c>
      <c r="AF99" s="4">
        <v>1</v>
      </c>
      <c r="AG99" s="4">
        <v>1</v>
      </c>
      <c r="AH99" s="4">
        <v>1</v>
      </c>
      <c r="AI99" s="4">
        <v>1</v>
      </c>
      <c r="AJ99" s="4">
        <v>1</v>
      </c>
      <c r="AK99" s="4">
        <v>1</v>
      </c>
      <c r="AL99" s="4">
        <v>1</v>
      </c>
      <c r="AM99" s="4">
        <v>1</v>
      </c>
      <c r="AN99" s="4">
        <v>1</v>
      </c>
      <c r="AO99" s="4">
        <v>1</v>
      </c>
      <c r="AP99" s="4">
        <v>1</v>
      </c>
    </row>
    <row r="100" spans="1:42">
      <c r="A100" s="20">
        <v>-1.9</v>
      </c>
      <c r="B100" s="4">
        <v>1</v>
      </c>
      <c r="C100" s="4">
        <v>1</v>
      </c>
      <c r="D100" s="4">
        <v>1</v>
      </c>
      <c r="E100" s="4">
        <v>-1</v>
      </c>
      <c r="F100" s="4">
        <v>-1</v>
      </c>
      <c r="G100" s="4">
        <v>-1</v>
      </c>
      <c r="H100" s="4">
        <v>-1</v>
      </c>
      <c r="I100" s="4">
        <v>-1</v>
      </c>
      <c r="J100" s="4">
        <v>-1</v>
      </c>
      <c r="K100" s="4">
        <v>-1</v>
      </c>
      <c r="L100" s="4">
        <v>-1</v>
      </c>
      <c r="M100" s="4">
        <v>-1</v>
      </c>
      <c r="N100" s="4">
        <v>-1</v>
      </c>
      <c r="O100" s="4">
        <v>-1</v>
      </c>
      <c r="P100" s="4">
        <v>-1</v>
      </c>
      <c r="Q100" s="4">
        <v>-1</v>
      </c>
      <c r="R100" s="4">
        <v>-1</v>
      </c>
      <c r="S100" s="4">
        <v>-1</v>
      </c>
      <c r="T100" s="4">
        <v>-1</v>
      </c>
      <c r="U100" s="4">
        <v>-1</v>
      </c>
      <c r="V100" s="4">
        <v>-1</v>
      </c>
      <c r="W100" s="4">
        <v>-1</v>
      </c>
      <c r="X100" s="4">
        <v>-1</v>
      </c>
      <c r="Y100" s="4">
        <v>-1</v>
      </c>
      <c r="Z100" s="4">
        <v>-1</v>
      </c>
      <c r="AA100" s="4">
        <v>1</v>
      </c>
      <c r="AB100" s="4">
        <v>1</v>
      </c>
      <c r="AC100" s="4">
        <v>1</v>
      </c>
      <c r="AD100" s="4">
        <v>1</v>
      </c>
      <c r="AE100" s="4">
        <v>1</v>
      </c>
      <c r="AF100" s="4">
        <v>1</v>
      </c>
      <c r="AG100" s="4">
        <v>1</v>
      </c>
      <c r="AH100" s="4">
        <v>1</v>
      </c>
      <c r="AI100" s="4">
        <v>1</v>
      </c>
      <c r="AJ100" s="4">
        <v>1</v>
      </c>
      <c r="AK100" s="4">
        <v>1</v>
      </c>
      <c r="AL100" s="4">
        <v>1</v>
      </c>
      <c r="AM100" s="4">
        <v>1</v>
      </c>
      <c r="AN100" s="4">
        <v>1</v>
      </c>
      <c r="AO100" s="4">
        <v>1</v>
      </c>
      <c r="AP100" s="4">
        <v>1</v>
      </c>
    </row>
    <row r="101" spans="1:42">
      <c r="A101" s="28">
        <v>-2</v>
      </c>
      <c r="B101" s="4">
        <v>1</v>
      </c>
      <c r="C101" s="4">
        <v>-1</v>
      </c>
      <c r="D101" s="4">
        <v>-1</v>
      </c>
      <c r="E101" s="4">
        <v>-1</v>
      </c>
      <c r="F101" s="4">
        <v>-1</v>
      </c>
      <c r="G101" s="4">
        <v>-1</v>
      </c>
      <c r="H101" s="4">
        <v>-1</v>
      </c>
      <c r="I101" s="4">
        <v>-1</v>
      </c>
      <c r="J101" s="4">
        <v>-1</v>
      </c>
      <c r="K101" s="4">
        <v>-1</v>
      </c>
      <c r="L101" s="4">
        <v>-1</v>
      </c>
      <c r="M101" s="4">
        <v>-1</v>
      </c>
      <c r="N101" s="4">
        <v>-1</v>
      </c>
      <c r="O101" s="4">
        <v>-1</v>
      </c>
      <c r="P101" s="4">
        <v>-1</v>
      </c>
      <c r="Q101" s="4">
        <v>-1</v>
      </c>
      <c r="R101" s="4">
        <v>-1</v>
      </c>
      <c r="S101" s="4">
        <v>-1</v>
      </c>
      <c r="T101" s="4">
        <v>-1</v>
      </c>
      <c r="U101" s="4">
        <v>-1</v>
      </c>
      <c r="V101" s="4">
        <v>-1</v>
      </c>
      <c r="W101" s="4">
        <v>-1</v>
      </c>
      <c r="X101" s="4">
        <v>-1</v>
      </c>
      <c r="Y101" s="4">
        <v>-1</v>
      </c>
      <c r="Z101" s="4">
        <v>-1</v>
      </c>
      <c r="AA101" s="4">
        <v>1</v>
      </c>
      <c r="AB101" s="4">
        <v>1</v>
      </c>
      <c r="AC101" s="4">
        <v>1</v>
      </c>
      <c r="AD101" s="4">
        <v>1</v>
      </c>
      <c r="AE101" s="4">
        <v>1</v>
      </c>
      <c r="AF101" s="4">
        <v>1</v>
      </c>
      <c r="AG101" s="4">
        <v>1</v>
      </c>
      <c r="AH101" s="4">
        <v>1</v>
      </c>
      <c r="AI101" s="4">
        <v>1</v>
      </c>
      <c r="AJ101" s="4">
        <v>1</v>
      </c>
      <c r="AK101" s="4">
        <v>1</v>
      </c>
      <c r="AL101" s="4">
        <v>1</v>
      </c>
      <c r="AM101" s="4">
        <v>1</v>
      </c>
      <c r="AN101" s="4">
        <v>1</v>
      </c>
      <c r="AO101" s="4">
        <v>1</v>
      </c>
      <c r="AP101" s="4">
        <v>1</v>
      </c>
    </row>
    <row r="104" spans="1:42">
      <c r="A104" s="5"/>
      <c r="B104" s="5"/>
      <c r="C104" s="5"/>
      <c r="D104" s="5"/>
      <c r="E104" s="5"/>
      <c r="F104" s="5"/>
      <c r="G104" s="5"/>
      <c r="H104" s="5"/>
      <c r="I104" s="5"/>
      <c r="J104" s="12"/>
      <c r="K104" s="12"/>
      <c r="L104" s="12"/>
      <c r="M104" s="12"/>
      <c r="N104" s="12"/>
      <c r="O104" s="12"/>
      <c r="P104" s="12"/>
      <c r="Q104" s="12"/>
      <c r="R104" s="12"/>
      <c r="S104" s="5"/>
      <c r="T104" s="5"/>
      <c r="U104" s="5"/>
      <c r="V104" s="5"/>
    </row>
  </sheetData>
  <mergeCells count="4">
    <mergeCell ref="A2:T3"/>
    <mergeCell ref="A16:F16"/>
    <mergeCell ref="C41:D41"/>
    <mergeCell ref="I16:R16"/>
  </mergeCells>
  <pageMargins left="0.7" right="0.7" top="0.75" bottom="0.75" header="0.3" footer="0.3"/>
  <pageSetup paperSize="9" orientation="portrait" horizontalDpi="300" verticalDpi="300" r:id="rId1"/>
  <drawing r:id="rId2"/>
  <legacyDrawing r:id="rId3"/>
  <oleObjects>
    <oleObject progId="Equation.DSMT4" shapeId="3074" r:id="rId4"/>
    <oleObject progId="Equation.DSMT4" shapeId="3076" r:id="rId5"/>
    <oleObject progId="Equation.DSMT4" shapeId="3078" r:id="rId6"/>
    <oleObject progId="Equation.DSMT4" shapeId="3080" r:id="rId7"/>
    <oleObject progId="Equation.DSMT4" shapeId="3081" r:id="rId8"/>
    <oleObject progId="Equation.DSMT4" shapeId="3082" r:id="rId9"/>
  </oleObjects>
</worksheet>
</file>

<file path=xl/worksheets/sheet4.xml><?xml version="1.0" encoding="utf-8"?>
<worksheet xmlns="http://schemas.openxmlformats.org/spreadsheetml/2006/main" xmlns:r="http://schemas.openxmlformats.org/officeDocument/2006/relationships">
  <dimension ref="A1:AO41"/>
  <sheetViews>
    <sheetView zoomScale="110" zoomScaleNormal="110" workbookViewId="0">
      <selection activeCell="AR45" sqref="AR45"/>
    </sheetView>
  </sheetViews>
  <sheetFormatPr defaultRowHeight="15"/>
  <cols>
    <col min="1" max="41" width="0.85546875" customWidth="1"/>
  </cols>
  <sheetData>
    <row r="1" spans="1:41" ht="5.0999999999999996" customHeight="1">
      <c r="A1">
        <f>'Non Linear Prediction'!B61</f>
        <v>1</v>
      </c>
      <c r="B1">
        <f>'Non Linear Prediction'!C61</f>
        <v>1</v>
      </c>
      <c r="C1">
        <f>'Non Linear Prediction'!D61</f>
        <v>1</v>
      </c>
      <c r="D1">
        <f>'Non Linear Prediction'!E61</f>
        <v>1</v>
      </c>
      <c r="E1">
        <f>'Non Linear Prediction'!F61</f>
        <v>1</v>
      </c>
      <c r="F1">
        <f>'Non Linear Prediction'!G61</f>
        <v>1</v>
      </c>
      <c r="G1">
        <f>'Non Linear Prediction'!H61</f>
        <v>1</v>
      </c>
      <c r="H1">
        <f>'Non Linear Prediction'!I61</f>
        <v>1</v>
      </c>
      <c r="I1">
        <f>'Non Linear Prediction'!J61</f>
        <v>1</v>
      </c>
      <c r="J1">
        <f>'Non Linear Prediction'!K61</f>
        <v>1</v>
      </c>
      <c r="K1">
        <f>'Non Linear Prediction'!L61</f>
        <v>1</v>
      </c>
      <c r="L1">
        <f>'Non Linear Prediction'!M61</f>
        <v>1</v>
      </c>
      <c r="M1">
        <f>'Non Linear Prediction'!N61</f>
        <v>-1</v>
      </c>
      <c r="N1">
        <f>'Non Linear Prediction'!O61</f>
        <v>-1</v>
      </c>
      <c r="O1">
        <f>'Non Linear Prediction'!P61</f>
        <v>-1</v>
      </c>
      <c r="P1">
        <f>'Non Linear Prediction'!Q61</f>
        <v>-1</v>
      </c>
      <c r="Q1">
        <f>'Non Linear Prediction'!R61</f>
        <v>-1</v>
      </c>
      <c r="R1">
        <f>'Non Linear Prediction'!S61</f>
        <v>-1</v>
      </c>
      <c r="S1">
        <f>'Non Linear Prediction'!T61</f>
        <v>-1</v>
      </c>
      <c r="T1">
        <f>'Non Linear Prediction'!U61</f>
        <v>-1</v>
      </c>
      <c r="U1">
        <f>'Non Linear Prediction'!V61</f>
        <v>-1</v>
      </c>
      <c r="V1">
        <f>'Non Linear Prediction'!W61</f>
        <v>-1</v>
      </c>
      <c r="W1">
        <f>'Non Linear Prediction'!X61</f>
        <v>-1</v>
      </c>
      <c r="X1">
        <f>'Non Linear Prediction'!Y61</f>
        <v>-1</v>
      </c>
      <c r="Y1">
        <f>'Non Linear Prediction'!Z61</f>
        <v>-1</v>
      </c>
      <c r="Z1">
        <f>'Non Linear Prediction'!AA61</f>
        <v>-1</v>
      </c>
      <c r="AA1">
        <f>'Non Linear Prediction'!AB61</f>
        <v>-1</v>
      </c>
      <c r="AB1">
        <f>'Non Linear Prediction'!AC61</f>
        <v>-1</v>
      </c>
      <c r="AC1">
        <f>'Non Linear Prediction'!AD61</f>
        <v>-1</v>
      </c>
      <c r="AD1">
        <f>'Non Linear Prediction'!AE61</f>
        <v>-1</v>
      </c>
      <c r="AE1">
        <f>'Non Linear Prediction'!AF61</f>
        <v>-1</v>
      </c>
      <c r="AF1">
        <f>'Non Linear Prediction'!AG61</f>
        <v>-1</v>
      </c>
      <c r="AG1">
        <f>'Non Linear Prediction'!AH61</f>
        <v>-1</v>
      </c>
      <c r="AH1">
        <f>'Non Linear Prediction'!AI61</f>
        <v>-1</v>
      </c>
      <c r="AI1">
        <f>'Non Linear Prediction'!AJ61</f>
        <v>-1</v>
      </c>
      <c r="AJ1">
        <f>'Non Linear Prediction'!AK61</f>
        <v>-1</v>
      </c>
      <c r="AK1">
        <f>'Non Linear Prediction'!AL61</f>
        <v>-1</v>
      </c>
      <c r="AL1">
        <f>'Non Linear Prediction'!AM61</f>
        <v>-1</v>
      </c>
      <c r="AM1">
        <f>'Non Linear Prediction'!AN61</f>
        <v>-1</v>
      </c>
      <c r="AN1">
        <f>'Non Linear Prediction'!AO61</f>
        <v>-1</v>
      </c>
      <c r="AO1">
        <f>'Non Linear Prediction'!AP61</f>
        <v>-1</v>
      </c>
    </row>
    <row r="2" spans="1:41" ht="5.0999999999999996" customHeight="1">
      <c r="A2">
        <f>'Non Linear Prediction'!B62</f>
        <v>1</v>
      </c>
      <c r="B2">
        <f>'Non Linear Prediction'!C62</f>
        <v>1</v>
      </c>
      <c r="C2">
        <f>'Non Linear Prediction'!D62</f>
        <v>1</v>
      </c>
      <c r="D2">
        <f>'Non Linear Prediction'!E62</f>
        <v>1</v>
      </c>
      <c r="E2">
        <f>'Non Linear Prediction'!F62</f>
        <v>1</v>
      </c>
      <c r="F2">
        <f>'Non Linear Prediction'!G62</f>
        <v>1</v>
      </c>
      <c r="G2">
        <f>'Non Linear Prediction'!H62</f>
        <v>1</v>
      </c>
      <c r="H2">
        <f>'Non Linear Prediction'!I62</f>
        <v>1</v>
      </c>
      <c r="I2">
        <f>'Non Linear Prediction'!J62</f>
        <v>1</v>
      </c>
      <c r="J2">
        <f>'Non Linear Prediction'!K62</f>
        <v>1</v>
      </c>
      <c r="K2">
        <f>'Non Linear Prediction'!L62</f>
        <v>1</v>
      </c>
      <c r="L2">
        <f>'Non Linear Prediction'!M62</f>
        <v>1</v>
      </c>
      <c r="M2">
        <f>'Non Linear Prediction'!N62</f>
        <v>1</v>
      </c>
      <c r="N2">
        <f>'Non Linear Prediction'!O62</f>
        <v>-1</v>
      </c>
      <c r="O2">
        <f>'Non Linear Prediction'!P62</f>
        <v>-1</v>
      </c>
      <c r="P2">
        <f>'Non Linear Prediction'!Q62</f>
        <v>-1</v>
      </c>
      <c r="Q2">
        <f>'Non Linear Prediction'!R62</f>
        <v>-1</v>
      </c>
      <c r="R2">
        <f>'Non Linear Prediction'!S62</f>
        <v>-1</v>
      </c>
      <c r="S2">
        <f>'Non Linear Prediction'!T62</f>
        <v>-1</v>
      </c>
      <c r="T2">
        <f>'Non Linear Prediction'!U62</f>
        <v>-1</v>
      </c>
      <c r="U2">
        <f>'Non Linear Prediction'!V62</f>
        <v>-1</v>
      </c>
      <c r="V2">
        <f>'Non Linear Prediction'!W62</f>
        <v>-1</v>
      </c>
      <c r="W2">
        <f>'Non Linear Prediction'!X62</f>
        <v>-1</v>
      </c>
      <c r="X2">
        <f>'Non Linear Prediction'!Y62</f>
        <v>-1</v>
      </c>
      <c r="Y2">
        <f>'Non Linear Prediction'!Z62</f>
        <v>-1</v>
      </c>
      <c r="Z2">
        <f>'Non Linear Prediction'!AA62</f>
        <v>-1</v>
      </c>
      <c r="AA2">
        <f>'Non Linear Prediction'!AB62</f>
        <v>-1</v>
      </c>
      <c r="AB2">
        <f>'Non Linear Prediction'!AC62</f>
        <v>-1</v>
      </c>
      <c r="AC2">
        <f>'Non Linear Prediction'!AD62</f>
        <v>-1</v>
      </c>
      <c r="AD2">
        <f>'Non Linear Prediction'!AE62</f>
        <v>-1</v>
      </c>
      <c r="AE2">
        <f>'Non Linear Prediction'!AF62</f>
        <v>-1</v>
      </c>
      <c r="AF2">
        <f>'Non Linear Prediction'!AG62</f>
        <v>-1</v>
      </c>
      <c r="AG2">
        <f>'Non Linear Prediction'!AH62</f>
        <v>-1</v>
      </c>
      <c r="AH2">
        <f>'Non Linear Prediction'!AI62</f>
        <v>-1</v>
      </c>
      <c r="AI2">
        <f>'Non Linear Prediction'!AJ62</f>
        <v>-1</v>
      </c>
      <c r="AJ2">
        <f>'Non Linear Prediction'!AK62</f>
        <v>-1</v>
      </c>
      <c r="AK2">
        <f>'Non Linear Prediction'!AL62</f>
        <v>-1</v>
      </c>
      <c r="AL2">
        <f>'Non Linear Prediction'!AM62</f>
        <v>-1</v>
      </c>
      <c r="AM2">
        <f>'Non Linear Prediction'!AN62</f>
        <v>-1</v>
      </c>
      <c r="AN2">
        <f>'Non Linear Prediction'!AO62</f>
        <v>-1</v>
      </c>
      <c r="AO2">
        <f>'Non Linear Prediction'!AP62</f>
        <v>-1</v>
      </c>
    </row>
    <row r="3" spans="1:41" ht="5.0999999999999996" customHeight="1">
      <c r="A3">
        <f>'Non Linear Prediction'!B63</f>
        <v>1</v>
      </c>
      <c r="B3">
        <f>'Non Linear Prediction'!C63</f>
        <v>1</v>
      </c>
      <c r="C3">
        <f>'Non Linear Prediction'!D63</f>
        <v>1</v>
      </c>
      <c r="D3">
        <f>'Non Linear Prediction'!E63</f>
        <v>1</v>
      </c>
      <c r="E3">
        <f>'Non Linear Prediction'!F63</f>
        <v>1</v>
      </c>
      <c r="F3">
        <f>'Non Linear Prediction'!G63</f>
        <v>1</v>
      </c>
      <c r="G3">
        <f>'Non Linear Prediction'!H63</f>
        <v>1</v>
      </c>
      <c r="H3">
        <f>'Non Linear Prediction'!I63</f>
        <v>1</v>
      </c>
      <c r="I3">
        <f>'Non Linear Prediction'!J63</f>
        <v>1</v>
      </c>
      <c r="J3">
        <f>'Non Linear Prediction'!K63</f>
        <v>1</v>
      </c>
      <c r="K3">
        <f>'Non Linear Prediction'!L63</f>
        <v>1</v>
      </c>
      <c r="L3">
        <f>'Non Linear Prediction'!M63</f>
        <v>1</v>
      </c>
      <c r="M3">
        <f>'Non Linear Prediction'!N63</f>
        <v>1</v>
      </c>
      <c r="N3">
        <f>'Non Linear Prediction'!O63</f>
        <v>-1</v>
      </c>
      <c r="O3">
        <f>'Non Linear Prediction'!P63</f>
        <v>-1</v>
      </c>
      <c r="P3">
        <f>'Non Linear Prediction'!Q63</f>
        <v>-1</v>
      </c>
      <c r="Q3">
        <f>'Non Linear Prediction'!R63</f>
        <v>-1</v>
      </c>
      <c r="R3">
        <f>'Non Linear Prediction'!S63</f>
        <v>-1</v>
      </c>
      <c r="S3">
        <f>'Non Linear Prediction'!T63</f>
        <v>-1</v>
      </c>
      <c r="T3">
        <f>'Non Linear Prediction'!U63</f>
        <v>-1</v>
      </c>
      <c r="U3">
        <f>'Non Linear Prediction'!V63</f>
        <v>-1</v>
      </c>
      <c r="V3">
        <f>'Non Linear Prediction'!W63</f>
        <v>-1</v>
      </c>
      <c r="W3">
        <f>'Non Linear Prediction'!X63</f>
        <v>-1</v>
      </c>
      <c r="X3">
        <f>'Non Linear Prediction'!Y63</f>
        <v>-1</v>
      </c>
      <c r="Y3">
        <f>'Non Linear Prediction'!Z63</f>
        <v>-1</v>
      </c>
      <c r="Z3">
        <f>'Non Linear Prediction'!AA63</f>
        <v>-1</v>
      </c>
      <c r="AA3">
        <f>'Non Linear Prediction'!AB63</f>
        <v>-1</v>
      </c>
      <c r="AB3">
        <f>'Non Linear Prediction'!AC63</f>
        <v>-1</v>
      </c>
      <c r="AC3">
        <f>'Non Linear Prediction'!AD63</f>
        <v>-1</v>
      </c>
      <c r="AD3">
        <f>'Non Linear Prediction'!AE63</f>
        <v>-1</v>
      </c>
      <c r="AE3">
        <f>'Non Linear Prediction'!AF63</f>
        <v>-1</v>
      </c>
      <c r="AF3">
        <f>'Non Linear Prediction'!AG63</f>
        <v>-1</v>
      </c>
      <c r="AG3">
        <f>'Non Linear Prediction'!AH63</f>
        <v>-1</v>
      </c>
      <c r="AH3">
        <f>'Non Linear Prediction'!AI63</f>
        <v>-1</v>
      </c>
      <c r="AI3">
        <f>'Non Linear Prediction'!AJ63</f>
        <v>-1</v>
      </c>
      <c r="AJ3">
        <f>'Non Linear Prediction'!AK63</f>
        <v>-1</v>
      </c>
      <c r="AK3">
        <f>'Non Linear Prediction'!AL63</f>
        <v>-1</v>
      </c>
      <c r="AL3">
        <f>'Non Linear Prediction'!AM63</f>
        <v>-1</v>
      </c>
      <c r="AM3">
        <f>'Non Linear Prediction'!AN63</f>
        <v>-1</v>
      </c>
      <c r="AN3">
        <f>'Non Linear Prediction'!AO63</f>
        <v>-1</v>
      </c>
      <c r="AO3">
        <f>'Non Linear Prediction'!AP63</f>
        <v>-1</v>
      </c>
    </row>
    <row r="4" spans="1:41" ht="5.0999999999999996" customHeight="1">
      <c r="A4">
        <f>'Non Linear Prediction'!B64</f>
        <v>1</v>
      </c>
      <c r="B4">
        <f>'Non Linear Prediction'!C64</f>
        <v>1</v>
      </c>
      <c r="C4">
        <f>'Non Linear Prediction'!D64</f>
        <v>1</v>
      </c>
      <c r="D4">
        <f>'Non Linear Prediction'!E64</f>
        <v>1</v>
      </c>
      <c r="E4">
        <f>'Non Linear Prediction'!F64</f>
        <v>1</v>
      </c>
      <c r="F4">
        <f>'Non Linear Prediction'!G64</f>
        <v>1</v>
      </c>
      <c r="G4">
        <f>'Non Linear Prediction'!H64</f>
        <v>1</v>
      </c>
      <c r="H4">
        <f>'Non Linear Prediction'!I64</f>
        <v>1</v>
      </c>
      <c r="I4">
        <f>'Non Linear Prediction'!J64</f>
        <v>1</v>
      </c>
      <c r="J4">
        <f>'Non Linear Prediction'!K64</f>
        <v>1</v>
      </c>
      <c r="K4">
        <f>'Non Linear Prediction'!L64</f>
        <v>1</v>
      </c>
      <c r="L4">
        <f>'Non Linear Prediction'!M64</f>
        <v>1</v>
      </c>
      <c r="M4">
        <f>'Non Linear Prediction'!N64</f>
        <v>1</v>
      </c>
      <c r="N4">
        <f>'Non Linear Prediction'!O64</f>
        <v>1</v>
      </c>
      <c r="O4">
        <f>'Non Linear Prediction'!P64</f>
        <v>-1</v>
      </c>
      <c r="P4">
        <f>'Non Linear Prediction'!Q64</f>
        <v>-1</v>
      </c>
      <c r="Q4">
        <f>'Non Linear Prediction'!R64</f>
        <v>-1</v>
      </c>
      <c r="R4">
        <f>'Non Linear Prediction'!S64</f>
        <v>-1</v>
      </c>
      <c r="S4">
        <f>'Non Linear Prediction'!T64</f>
        <v>-1</v>
      </c>
      <c r="T4">
        <f>'Non Linear Prediction'!U64</f>
        <v>-1</v>
      </c>
      <c r="U4">
        <f>'Non Linear Prediction'!V64</f>
        <v>-1</v>
      </c>
      <c r="V4">
        <f>'Non Linear Prediction'!W64</f>
        <v>-1</v>
      </c>
      <c r="W4">
        <f>'Non Linear Prediction'!X64</f>
        <v>-1</v>
      </c>
      <c r="X4">
        <f>'Non Linear Prediction'!Y64</f>
        <v>-1</v>
      </c>
      <c r="Y4">
        <f>'Non Linear Prediction'!Z64</f>
        <v>-1</v>
      </c>
      <c r="Z4">
        <f>'Non Linear Prediction'!AA64</f>
        <v>-1</v>
      </c>
      <c r="AA4">
        <f>'Non Linear Prediction'!AB64</f>
        <v>-1</v>
      </c>
      <c r="AB4">
        <f>'Non Linear Prediction'!AC64</f>
        <v>-1</v>
      </c>
      <c r="AC4">
        <f>'Non Linear Prediction'!AD64</f>
        <v>-1</v>
      </c>
      <c r="AD4">
        <f>'Non Linear Prediction'!AE64</f>
        <v>-1</v>
      </c>
      <c r="AE4">
        <f>'Non Linear Prediction'!AF64</f>
        <v>-1</v>
      </c>
      <c r="AF4">
        <f>'Non Linear Prediction'!AG64</f>
        <v>-1</v>
      </c>
      <c r="AG4">
        <f>'Non Linear Prediction'!AH64</f>
        <v>-1</v>
      </c>
      <c r="AH4">
        <f>'Non Linear Prediction'!AI64</f>
        <v>-1</v>
      </c>
      <c r="AI4">
        <f>'Non Linear Prediction'!AJ64</f>
        <v>-1</v>
      </c>
      <c r="AJ4">
        <f>'Non Linear Prediction'!AK64</f>
        <v>-1</v>
      </c>
      <c r="AK4">
        <f>'Non Linear Prediction'!AL64</f>
        <v>-1</v>
      </c>
      <c r="AL4">
        <f>'Non Linear Prediction'!AM64</f>
        <v>-1</v>
      </c>
      <c r="AM4">
        <f>'Non Linear Prediction'!AN64</f>
        <v>-1</v>
      </c>
      <c r="AN4">
        <f>'Non Linear Prediction'!AO64</f>
        <v>-1</v>
      </c>
      <c r="AO4">
        <f>'Non Linear Prediction'!AP64</f>
        <v>-1</v>
      </c>
    </row>
    <row r="5" spans="1:41" ht="5.0999999999999996" customHeight="1">
      <c r="A5">
        <f>'Non Linear Prediction'!B65</f>
        <v>1</v>
      </c>
      <c r="B5">
        <f>'Non Linear Prediction'!C65</f>
        <v>1</v>
      </c>
      <c r="C5">
        <f>'Non Linear Prediction'!D65</f>
        <v>1</v>
      </c>
      <c r="D5">
        <f>'Non Linear Prediction'!E65</f>
        <v>1</v>
      </c>
      <c r="E5">
        <f>'Non Linear Prediction'!F65</f>
        <v>1</v>
      </c>
      <c r="F5">
        <f>'Non Linear Prediction'!G65</f>
        <v>1</v>
      </c>
      <c r="G5">
        <f>'Non Linear Prediction'!H65</f>
        <v>1</v>
      </c>
      <c r="H5">
        <f>'Non Linear Prediction'!I65</f>
        <v>1</v>
      </c>
      <c r="I5">
        <f>'Non Linear Prediction'!J65</f>
        <v>1</v>
      </c>
      <c r="J5">
        <f>'Non Linear Prediction'!K65</f>
        <v>1</v>
      </c>
      <c r="K5">
        <f>'Non Linear Prediction'!L65</f>
        <v>1</v>
      </c>
      <c r="L5">
        <f>'Non Linear Prediction'!M65</f>
        <v>1</v>
      </c>
      <c r="M5">
        <f>'Non Linear Prediction'!N65</f>
        <v>1</v>
      </c>
      <c r="N5">
        <f>'Non Linear Prediction'!O65</f>
        <v>1</v>
      </c>
      <c r="O5">
        <f>'Non Linear Prediction'!P65</f>
        <v>1</v>
      </c>
      <c r="P5">
        <f>'Non Linear Prediction'!Q65</f>
        <v>-1</v>
      </c>
      <c r="Q5">
        <f>'Non Linear Prediction'!R65</f>
        <v>-1</v>
      </c>
      <c r="R5">
        <f>'Non Linear Prediction'!S65</f>
        <v>-1</v>
      </c>
      <c r="S5">
        <f>'Non Linear Prediction'!T65</f>
        <v>-1</v>
      </c>
      <c r="T5">
        <f>'Non Linear Prediction'!U65</f>
        <v>-1</v>
      </c>
      <c r="U5">
        <f>'Non Linear Prediction'!V65</f>
        <v>-1</v>
      </c>
      <c r="V5">
        <f>'Non Linear Prediction'!W65</f>
        <v>-1</v>
      </c>
      <c r="W5">
        <f>'Non Linear Prediction'!X65</f>
        <v>-1</v>
      </c>
      <c r="X5">
        <f>'Non Linear Prediction'!Y65</f>
        <v>-1</v>
      </c>
      <c r="Y5">
        <f>'Non Linear Prediction'!Z65</f>
        <v>-1</v>
      </c>
      <c r="Z5">
        <f>'Non Linear Prediction'!AA65</f>
        <v>-1</v>
      </c>
      <c r="AA5">
        <f>'Non Linear Prediction'!AB65</f>
        <v>-1</v>
      </c>
      <c r="AB5">
        <f>'Non Linear Prediction'!AC65</f>
        <v>-1</v>
      </c>
      <c r="AC5">
        <f>'Non Linear Prediction'!AD65</f>
        <v>-1</v>
      </c>
      <c r="AD5">
        <f>'Non Linear Prediction'!AE65</f>
        <v>-1</v>
      </c>
      <c r="AE5">
        <f>'Non Linear Prediction'!AF65</f>
        <v>-1</v>
      </c>
      <c r="AF5">
        <f>'Non Linear Prediction'!AG65</f>
        <v>-1</v>
      </c>
      <c r="AG5">
        <f>'Non Linear Prediction'!AH65</f>
        <v>-1</v>
      </c>
      <c r="AH5">
        <f>'Non Linear Prediction'!AI65</f>
        <v>-1</v>
      </c>
      <c r="AI5">
        <f>'Non Linear Prediction'!AJ65</f>
        <v>-1</v>
      </c>
      <c r="AJ5">
        <f>'Non Linear Prediction'!AK65</f>
        <v>-1</v>
      </c>
      <c r="AK5">
        <f>'Non Linear Prediction'!AL65</f>
        <v>-1</v>
      </c>
      <c r="AL5">
        <f>'Non Linear Prediction'!AM65</f>
        <v>-1</v>
      </c>
      <c r="AM5">
        <f>'Non Linear Prediction'!AN65</f>
        <v>-1</v>
      </c>
      <c r="AN5">
        <f>'Non Linear Prediction'!AO65</f>
        <v>-1</v>
      </c>
      <c r="AO5">
        <f>'Non Linear Prediction'!AP65</f>
        <v>-1</v>
      </c>
    </row>
    <row r="6" spans="1:41" ht="5.0999999999999996" customHeight="1">
      <c r="A6">
        <f>'Non Linear Prediction'!B66</f>
        <v>1</v>
      </c>
      <c r="B6">
        <f>'Non Linear Prediction'!C66</f>
        <v>1</v>
      </c>
      <c r="C6">
        <f>'Non Linear Prediction'!D66</f>
        <v>1</v>
      </c>
      <c r="D6">
        <f>'Non Linear Prediction'!E66</f>
        <v>1</v>
      </c>
      <c r="E6">
        <f>'Non Linear Prediction'!F66</f>
        <v>1</v>
      </c>
      <c r="F6">
        <f>'Non Linear Prediction'!G66</f>
        <v>1</v>
      </c>
      <c r="G6">
        <f>'Non Linear Prediction'!H66</f>
        <v>1</v>
      </c>
      <c r="H6">
        <f>'Non Linear Prediction'!I66</f>
        <v>1</v>
      </c>
      <c r="I6">
        <f>'Non Linear Prediction'!J66</f>
        <v>1</v>
      </c>
      <c r="J6">
        <f>'Non Linear Prediction'!K66</f>
        <v>1</v>
      </c>
      <c r="K6">
        <f>'Non Linear Prediction'!L66</f>
        <v>1</v>
      </c>
      <c r="L6">
        <f>'Non Linear Prediction'!M66</f>
        <v>1</v>
      </c>
      <c r="M6">
        <f>'Non Linear Prediction'!N66</f>
        <v>1</v>
      </c>
      <c r="N6">
        <f>'Non Linear Prediction'!O66</f>
        <v>1</v>
      </c>
      <c r="O6">
        <f>'Non Linear Prediction'!P66</f>
        <v>1</v>
      </c>
      <c r="P6">
        <f>'Non Linear Prediction'!Q66</f>
        <v>-1</v>
      </c>
      <c r="Q6">
        <f>'Non Linear Prediction'!R66</f>
        <v>-1</v>
      </c>
      <c r="R6">
        <f>'Non Linear Prediction'!S66</f>
        <v>-1</v>
      </c>
      <c r="S6">
        <f>'Non Linear Prediction'!T66</f>
        <v>-1</v>
      </c>
      <c r="T6">
        <f>'Non Linear Prediction'!U66</f>
        <v>-1</v>
      </c>
      <c r="U6">
        <f>'Non Linear Prediction'!V66</f>
        <v>-1</v>
      </c>
      <c r="V6">
        <f>'Non Linear Prediction'!W66</f>
        <v>-1</v>
      </c>
      <c r="W6">
        <f>'Non Linear Prediction'!X66</f>
        <v>-1</v>
      </c>
      <c r="X6">
        <f>'Non Linear Prediction'!Y66</f>
        <v>-1</v>
      </c>
      <c r="Y6">
        <f>'Non Linear Prediction'!Z66</f>
        <v>-1</v>
      </c>
      <c r="Z6">
        <f>'Non Linear Prediction'!AA66</f>
        <v>-1</v>
      </c>
      <c r="AA6">
        <f>'Non Linear Prediction'!AB66</f>
        <v>-1</v>
      </c>
      <c r="AB6">
        <f>'Non Linear Prediction'!AC66</f>
        <v>-1</v>
      </c>
      <c r="AC6">
        <f>'Non Linear Prediction'!AD66</f>
        <v>-1</v>
      </c>
      <c r="AD6">
        <f>'Non Linear Prediction'!AE66</f>
        <v>-1</v>
      </c>
      <c r="AE6">
        <f>'Non Linear Prediction'!AF66</f>
        <v>-1</v>
      </c>
      <c r="AF6">
        <f>'Non Linear Prediction'!AG66</f>
        <v>-1</v>
      </c>
      <c r="AG6">
        <f>'Non Linear Prediction'!AH66</f>
        <v>-1</v>
      </c>
      <c r="AH6">
        <f>'Non Linear Prediction'!AI66</f>
        <v>-1</v>
      </c>
      <c r="AI6">
        <f>'Non Linear Prediction'!AJ66</f>
        <v>-1</v>
      </c>
      <c r="AJ6">
        <f>'Non Linear Prediction'!AK66</f>
        <v>-1</v>
      </c>
      <c r="AK6">
        <f>'Non Linear Prediction'!AL66</f>
        <v>-1</v>
      </c>
      <c r="AL6">
        <f>'Non Linear Prediction'!AM66</f>
        <v>-1</v>
      </c>
      <c r="AM6">
        <f>'Non Linear Prediction'!AN66</f>
        <v>-1</v>
      </c>
      <c r="AN6">
        <f>'Non Linear Prediction'!AO66</f>
        <v>-1</v>
      </c>
      <c r="AO6">
        <f>'Non Linear Prediction'!AP66</f>
        <v>-1</v>
      </c>
    </row>
    <row r="7" spans="1:41" ht="5.0999999999999996" customHeight="1">
      <c r="A7">
        <f>'Non Linear Prediction'!B67</f>
        <v>1</v>
      </c>
      <c r="B7">
        <f>'Non Linear Prediction'!C67</f>
        <v>1</v>
      </c>
      <c r="C7">
        <f>'Non Linear Prediction'!D67</f>
        <v>1</v>
      </c>
      <c r="D7">
        <f>'Non Linear Prediction'!E67</f>
        <v>1</v>
      </c>
      <c r="E7">
        <f>'Non Linear Prediction'!F67</f>
        <v>1</v>
      </c>
      <c r="F7">
        <f>'Non Linear Prediction'!G67</f>
        <v>1</v>
      </c>
      <c r="G7">
        <f>'Non Linear Prediction'!H67</f>
        <v>1</v>
      </c>
      <c r="H7">
        <f>'Non Linear Prediction'!I67</f>
        <v>1</v>
      </c>
      <c r="I7">
        <f>'Non Linear Prediction'!J67</f>
        <v>1</v>
      </c>
      <c r="J7">
        <f>'Non Linear Prediction'!K67</f>
        <v>1</v>
      </c>
      <c r="K7">
        <f>'Non Linear Prediction'!L67</f>
        <v>1</v>
      </c>
      <c r="L7">
        <f>'Non Linear Prediction'!M67</f>
        <v>1</v>
      </c>
      <c r="M7">
        <f>'Non Linear Prediction'!N67</f>
        <v>1</v>
      </c>
      <c r="N7">
        <f>'Non Linear Prediction'!O67</f>
        <v>1</v>
      </c>
      <c r="O7">
        <f>'Non Linear Prediction'!P67</f>
        <v>1</v>
      </c>
      <c r="P7">
        <f>'Non Linear Prediction'!Q67</f>
        <v>1</v>
      </c>
      <c r="Q7">
        <f>'Non Linear Prediction'!R67</f>
        <v>-1</v>
      </c>
      <c r="R7">
        <f>'Non Linear Prediction'!S67</f>
        <v>-1</v>
      </c>
      <c r="S7">
        <f>'Non Linear Prediction'!T67</f>
        <v>-1</v>
      </c>
      <c r="T7">
        <f>'Non Linear Prediction'!U67</f>
        <v>-1</v>
      </c>
      <c r="U7">
        <f>'Non Linear Prediction'!V67</f>
        <v>-1</v>
      </c>
      <c r="V7">
        <f>'Non Linear Prediction'!W67</f>
        <v>-1</v>
      </c>
      <c r="W7">
        <f>'Non Linear Prediction'!X67</f>
        <v>-1</v>
      </c>
      <c r="X7">
        <f>'Non Linear Prediction'!Y67</f>
        <v>-1</v>
      </c>
      <c r="Y7">
        <f>'Non Linear Prediction'!Z67</f>
        <v>-1</v>
      </c>
      <c r="Z7">
        <f>'Non Linear Prediction'!AA67</f>
        <v>-1</v>
      </c>
      <c r="AA7">
        <f>'Non Linear Prediction'!AB67</f>
        <v>-1</v>
      </c>
      <c r="AB7">
        <f>'Non Linear Prediction'!AC67</f>
        <v>-1</v>
      </c>
      <c r="AC7">
        <f>'Non Linear Prediction'!AD67</f>
        <v>-1</v>
      </c>
      <c r="AD7">
        <f>'Non Linear Prediction'!AE67</f>
        <v>-1</v>
      </c>
      <c r="AE7">
        <f>'Non Linear Prediction'!AF67</f>
        <v>-1</v>
      </c>
      <c r="AF7">
        <f>'Non Linear Prediction'!AG67</f>
        <v>-1</v>
      </c>
      <c r="AG7">
        <f>'Non Linear Prediction'!AH67</f>
        <v>-1</v>
      </c>
      <c r="AH7">
        <f>'Non Linear Prediction'!AI67</f>
        <v>-1</v>
      </c>
      <c r="AI7">
        <f>'Non Linear Prediction'!AJ67</f>
        <v>-1</v>
      </c>
      <c r="AJ7">
        <f>'Non Linear Prediction'!AK67</f>
        <v>-1</v>
      </c>
      <c r="AK7">
        <f>'Non Linear Prediction'!AL67</f>
        <v>-1</v>
      </c>
      <c r="AL7">
        <f>'Non Linear Prediction'!AM67</f>
        <v>-1</v>
      </c>
      <c r="AM7">
        <f>'Non Linear Prediction'!AN67</f>
        <v>-1</v>
      </c>
      <c r="AN7">
        <f>'Non Linear Prediction'!AO67</f>
        <v>-1</v>
      </c>
      <c r="AO7">
        <f>'Non Linear Prediction'!AP67</f>
        <v>-1</v>
      </c>
    </row>
    <row r="8" spans="1:41" ht="5.0999999999999996" customHeight="1">
      <c r="A8">
        <f>'Non Linear Prediction'!B68</f>
        <v>1</v>
      </c>
      <c r="B8">
        <f>'Non Linear Prediction'!C68</f>
        <v>1</v>
      </c>
      <c r="C8">
        <f>'Non Linear Prediction'!D68</f>
        <v>1</v>
      </c>
      <c r="D8">
        <f>'Non Linear Prediction'!E68</f>
        <v>1</v>
      </c>
      <c r="E8">
        <f>'Non Linear Prediction'!F68</f>
        <v>1</v>
      </c>
      <c r="F8">
        <f>'Non Linear Prediction'!G68</f>
        <v>1</v>
      </c>
      <c r="G8">
        <f>'Non Linear Prediction'!H68</f>
        <v>1</v>
      </c>
      <c r="H8">
        <f>'Non Linear Prediction'!I68</f>
        <v>1</v>
      </c>
      <c r="I8">
        <f>'Non Linear Prediction'!J68</f>
        <v>1</v>
      </c>
      <c r="J8">
        <f>'Non Linear Prediction'!K68</f>
        <v>1</v>
      </c>
      <c r="K8">
        <f>'Non Linear Prediction'!L68</f>
        <v>1</v>
      </c>
      <c r="L8">
        <f>'Non Linear Prediction'!M68</f>
        <v>1</v>
      </c>
      <c r="M8">
        <f>'Non Linear Prediction'!N68</f>
        <v>1</v>
      </c>
      <c r="N8">
        <f>'Non Linear Prediction'!O68</f>
        <v>1</v>
      </c>
      <c r="O8">
        <f>'Non Linear Prediction'!P68</f>
        <v>1</v>
      </c>
      <c r="P8">
        <f>'Non Linear Prediction'!Q68</f>
        <v>1</v>
      </c>
      <c r="Q8">
        <f>'Non Linear Prediction'!R68</f>
        <v>-1</v>
      </c>
      <c r="R8">
        <f>'Non Linear Prediction'!S68</f>
        <v>-1</v>
      </c>
      <c r="S8">
        <f>'Non Linear Prediction'!T68</f>
        <v>-1</v>
      </c>
      <c r="T8">
        <f>'Non Linear Prediction'!U68</f>
        <v>-1</v>
      </c>
      <c r="U8">
        <f>'Non Linear Prediction'!V68</f>
        <v>-1</v>
      </c>
      <c r="V8">
        <f>'Non Linear Prediction'!W68</f>
        <v>-1</v>
      </c>
      <c r="W8">
        <f>'Non Linear Prediction'!X68</f>
        <v>-1</v>
      </c>
      <c r="X8">
        <f>'Non Linear Prediction'!Y68</f>
        <v>-1</v>
      </c>
      <c r="Y8">
        <f>'Non Linear Prediction'!Z68</f>
        <v>-1</v>
      </c>
      <c r="Z8">
        <f>'Non Linear Prediction'!AA68</f>
        <v>-1</v>
      </c>
      <c r="AA8">
        <f>'Non Linear Prediction'!AB68</f>
        <v>-1</v>
      </c>
      <c r="AB8">
        <f>'Non Linear Prediction'!AC68</f>
        <v>-1</v>
      </c>
      <c r="AC8">
        <f>'Non Linear Prediction'!AD68</f>
        <v>-1</v>
      </c>
      <c r="AD8">
        <f>'Non Linear Prediction'!AE68</f>
        <v>-1</v>
      </c>
      <c r="AE8">
        <f>'Non Linear Prediction'!AF68</f>
        <v>-1</v>
      </c>
      <c r="AF8">
        <f>'Non Linear Prediction'!AG68</f>
        <v>-1</v>
      </c>
      <c r="AG8">
        <f>'Non Linear Prediction'!AH68</f>
        <v>-1</v>
      </c>
      <c r="AH8">
        <f>'Non Linear Prediction'!AI68</f>
        <v>-1</v>
      </c>
      <c r="AI8">
        <f>'Non Linear Prediction'!AJ68</f>
        <v>-1</v>
      </c>
      <c r="AJ8">
        <f>'Non Linear Prediction'!AK68</f>
        <v>-1</v>
      </c>
      <c r="AK8">
        <f>'Non Linear Prediction'!AL68</f>
        <v>-1</v>
      </c>
      <c r="AL8">
        <f>'Non Linear Prediction'!AM68</f>
        <v>-1</v>
      </c>
      <c r="AM8">
        <f>'Non Linear Prediction'!AN68</f>
        <v>-1</v>
      </c>
      <c r="AN8">
        <f>'Non Linear Prediction'!AO68</f>
        <v>-1</v>
      </c>
      <c r="AO8">
        <f>'Non Linear Prediction'!AP68</f>
        <v>-1</v>
      </c>
    </row>
    <row r="9" spans="1:41" ht="5.0999999999999996" customHeight="1">
      <c r="A9">
        <f>'Non Linear Prediction'!B69</f>
        <v>1</v>
      </c>
      <c r="B9">
        <f>'Non Linear Prediction'!C69</f>
        <v>1</v>
      </c>
      <c r="C9">
        <f>'Non Linear Prediction'!D69</f>
        <v>1</v>
      </c>
      <c r="D9">
        <f>'Non Linear Prediction'!E69</f>
        <v>1</v>
      </c>
      <c r="E9">
        <f>'Non Linear Prediction'!F69</f>
        <v>1</v>
      </c>
      <c r="F9">
        <f>'Non Linear Prediction'!G69</f>
        <v>1</v>
      </c>
      <c r="G9">
        <f>'Non Linear Prediction'!H69</f>
        <v>1</v>
      </c>
      <c r="H9">
        <f>'Non Linear Prediction'!I69</f>
        <v>1</v>
      </c>
      <c r="I9">
        <f>'Non Linear Prediction'!J69</f>
        <v>1</v>
      </c>
      <c r="J9">
        <f>'Non Linear Prediction'!K69</f>
        <v>1</v>
      </c>
      <c r="K9">
        <f>'Non Linear Prediction'!L69</f>
        <v>1</v>
      </c>
      <c r="L9">
        <f>'Non Linear Prediction'!M69</f>
        <v>1</v>
      </c>
      <c r="M9">
        <f>'Non Linear Prediction'!N69</f>
        <v>1</v>
      </c>
      <c r="N9">
        <f>'Non Linear Prediction'!O69</f>
        <v>1</v>
      </c>
      <c r="O9">
        <f>'Non Linear Prediction'!P69</f>
        <v>1</v>
      </c>
      <c r="P9">
        <f>'Non Linear Prediction'!Q69</f>
        <v>1</v>
      </c>
      <c r="Q9">
        <f>'Non Linear Prediction'!R69</f>
        <v>1</v>
      </c>
      <c r="R9">
        <f>'Non Linear Prediction'!S69</f>
        <v>-1</v>
      </c>
      <c r="S9">
        <f>'Non Linear Prediction'!T69</f>
        <v>-1</v>
      </c>
      <c r="T9">
        <f>'Non Linear Prediction'!U69</f>
        <v>-1</v>
      </c>
      <c r="U9">
        <f>'Non Linear Prediction'!V69</f>
        <v>-1</v>
      </c>
      <c r="V9">
        <f>'Non Linear Prediction'!W69</f>
        <v>-1</v>
      </c>
      <c r="W9">
        <f>'Non Linear Prediction'!X69</f>
        <v>-1</v>
      </c>
      <c r="X9">
        <f>'Non Linear Prediction'!Y69</f>
        <v>-1</v>
      </c>
      <c r="Y9">
        <f>'Non Linear Prediction'!Z69</f>
        <v>-1</v>
      </c>
      <c r="Z9">
        <f>'Non Linear Prediction'!AA69</f>
        <v>-1</v>
      </c>
      <c r="AA9">
        <f>'Non Linear Prediction'!AB69</f>
        <v>-1</v>
      </c>
      <c r="AB9">
        <f>'Non Linear Prediction'!AC69</f>
        <v>-1</v>
      </c>
      <c r="AC9">
        <f>'Non Linear Prediction'!AD69</f>
        <v>-1</v>
      </c>
      <c r="AD9">
        <f>'Non Linear Prediction'!AE69</f>
        <v>-1</v>
      </c>
      <c r="AE9">
        <f>'Non Linear Prediction'!AF69</f>
        <v>-1</v>
      </c>
      <c r="AF9">
        <f>'Non Linear Prediction'!AG69</f>
        <v>-1</v>
      </c>
      <c r="AG9">
        <f>'Non Linear Prediction'!AH69</f>
        <v>-1</v>
      </c>
      <c r="AH9">
        <f>'Non Linear Prediction'!AI69</f>
        <v>-1</v>
      </c>
      <c r="AI9">
        <f>'Non Linear Prediction'!AJ69</f>
        <v>-1</v>
      </c>
      <c r="AJ9">
        <f>'Non Linear Prediction'!AK69</f>
        <v>-1</v>
      </c>
      <c r="AK9">
        <f>'Non Linear Prediction'!AL69</f>
        <v>-1</v>
      </c>
      <c r="AL9">
        <f>'Non Linear Prediction'!AM69</f>
        <v>-1</v>
      </c>
      <c r="AM9">
        <f>'Non Linear Prediction'!AN69</f>
        <v>-1</v>
      </c>
      <c r="AN9">
        <f>'Non Linear Prediction'!AO69</f>
        <v>-1</v>
      </c>
      <c r="AO9">
        <f>'Non Linear Prediction'!AP69</f>
        <v>-1</v>
      </c>
    </row>
    <row r="10" spans="1:41" ht="5.0999999999999996" customHeight="1">
      <c r="A10">
        <f>'Non Linear Prediction'!B70</f>
        <v>1</v>
      </c>
      <c r="B10">
        <f>'Non Linear Prediction'!C70</f>
        <v>1</v>
      </c>
      <c r="C10">
        <f>'Non Linear Prediction'!D70</f>
        <v>1</v>
      </c>
      <c r="D10">
        <f>'Non Linear Prediction'!E70</f>
        <v>1</v>
      </c>
      <c r="E10">
        <f>'Non Linear Prediction'!F70</f>
        <v>1</v>
      </c>
      <c r="F10">
        <f>'Non Linear Prediction'!G70</f>
        <v>1</v>
      </c>
      <c r="G10">
        <f>'Non Linear Prediction'!H70</f>
        <v>1</v>
      </c>
      <c r="H10">
        <f>'Non Linear Prediction'!I70</f>
        <v>1</v>
      </c>
      <c r="I10">
        <f>'Non Linear Prediction'!J70</f>
        <v>1</v>
      </c>
      <c r="J10">
        <f>'Non Linear Prediction'!K70</f>
        <v>1</v>
      </c>
      <c r="K10">
        <f>'Non Linear Prediction'!L70</f>
        <v>1</v>
      </c>
      <c r="L10">
        <f>'Non Linear Prediction'!M70</f>
        <v>1</v>
      </c>
      <c r="M10">
        <f>'Non Linear Prediction'!N70</f>
        <v>1</v>
      </c>
      <c r="N10">
        <f>'Non Linear Prediction'!O70</f>
        <v>1</v>
      </c>
      <c r="O10">
        <f>'Non Linear Prediction'!P70</f>
        <v>1</v>
      </c>
      <c r="P10">
        <f>'Non Linear Prediction'!Q70</f>
        <v>1</v>
      </c>
      <c r="Q10">
        <f>'Non Linear Prediction'!R70</f>
        <v>1</v>
      </c>
      <c r="R10">
        <f>'Non Linear Prediction'!S70</f>
        <v>-1</v>
      </c>
      <c r="S10">
        <f>'Non Linear Prediction'!T70</f>
        <v>-1</v>
      </c>
      <c r="T10">
        <f>'Non Linear Prediction'!U70</f>
        <v>-1</v>
      </c>
      <c r="U10">
        <f>'Non Linear Prediction'!V70</f>
        <v>-1</v>
      </c>
      <c r="V10">
        <f>'Non Linear Prediction'!W70</f>
        <v>-1</v>
      </c>
      <c r="W10">
        <f>'Non Linear Prediction'!X70</f>
        <v>-1</v>
      </c>
      <c r="X10">
        <f>'Non Linear Prediction'!Y70</f>
        <v>-1</v>
      </c>
      <c r="Y10">
        <f>'Non Linear Prediction'!Z70</f>
        <v>-1</v>
      </c>
      <c r="Z10">
        <f>'Non Linear Prediction'!AA70</f>
        <v>-1</v>
      </c>
      <c r="AA10">
        <f>'Non Linear Prediction'!AB70</f>
        <v>-1</v>
      </c>
      <c r="AB10">
        <f>'Non Linear Prediction'!AC70</f>
        <v>-1</v>
      </c>
      <c r="AC10">
        <f>'Non Linear Prediction'!AD70</f>
        <v>-1</v>
      </c>
      <c r="AD10">
        <f>'Non Linear Prediction'!AE70</f>
        <v>-1</v>
      </c>
      <c r="AE10">
        <f>'Non Linear Prediction'!AF70</f>
        <v>-1</v>
      </c>
      <c r="AF10">
        <f>'Non Linear Prediction'!AG70</f>
        <v>-1</v>
      </c>
      <c r="AG10">
        <f>'Non Linear Prediction'!AH70</f>
        <v>-1</v>
      </c>
      <c r="AH10">
        <f>'Non Linear Prediction'!AI70</f>
        <v>-1</v>
      </c>
      <c r="AI10">
        <f>'Non Linear Prediction'!AJ70</f>
        <v>-1</v>
      </c>
      <c r="AJ10">
        <f>'Non Linear Prediction'!AK70</f>
        <v>-1</v>
      </c>
      <c r="AK10">
        <f>'Non Linear Prediction'!AL70</f>
        <v>-1</v>
      </c>
      <c r="AL10">
        <f>'Non Linear Prediction'!AM70</f>
        <v>-1</v>
      </c>
      <c r="AM10">
        <f>'Non Linear Prediction'!AN70</f>
        <v>-1</v>
      </c>
      <c r="AN10">
        <f>'Non Linear Prediction'!AO70</f>
        <v>-1</v>
      </c>
      <c r="AO10">
        <f>'Non Linear Prediction'!AP70</f>
        <v>-1</v>
      </c>
    </row>
    <row r="11" spans="1:41" ht="5.0999999999999996" customHeight="1">
      <c r="A11">
        <f>'Non Linear Prediction'!B71</f>
        <v>1</v>
      </c>
      <c r="B11">
        <f>'Non Linear Prediction'!C71</f>
        <v>1</v>
      </c>
      <c r="C11">
        <f>'Non Linear Prediction'!D71</f>
        <v>1</v>
      </c>
      <c r="D11">
        <f>'Non Linear Prediction'!E71</f>
        <v>1</v>
      </c>
      <c r="E11">
        <f>'Non Linear Prediction'!F71</f>
        <v>1</v>
      </c>
      <c r="F11">
        <f>'Non Linear Prediction'!G71</f>
        <v>1</v>
      </c>
      <c r="G11">
        <f>'Non Linear Prediction'!H71</f>
        <v>1</v>
      </c>
      <c r="H11">
        <f>'Non Linear Prediction'!I71</f>
        <v>1</v>
      </c>
      <c r="I11">
        <f>'Non Linear Prediction'!J71</f>
        <v>1</v>
      </c>
      <c r="J11">
        <f>'Non Linear Prediction'!K71</f>
        <v>1</v>
      </c>
      <c r="K11">
        <f>'Non Linear Prediction'!L71</f>
        <v>1</v>
      </c>
      <c r="L11">
        <f>'Non Linear Prediction'!M71</f>
        <v>1</v>
      </c>
      <c r="M11">
        <f>'Non Linear Prediction'!N71</f>
        <v>1</v>
      </c>
      <c r="N11">
        <f>'Non Linear Prediction'!O71</f>
        <v>1</v>
      </c>
      <c r="O11">
        <f>'Non Linear Prediction'!P71</f>
        <v>1</v>
      </c>
      <c r="P11">
        <f>'Non Linear Prediction'!Q71</f>
        <v>1</v>
      </c>
      <c r="Q11">
        <f>'Non Linear Prediction'!R71</f>
        <v>1</v>
      </c>
      <c r="R11">
        <f>'Non Linear Prediction'!S71</f>
        <v>1</v>
      </c>
      <c r="S11">
        <f>'Non Linear Prediction'!T71</f>
        <v>-1</v>
      </c>
      <c r="T11">
        <f>'Non Linear Prediction'!U71</f>
        <v>-1</v>
      </c>
      <c r="U11">
        <f>'Non Linear Prediction'!V71</f>
        <v>-1</v>
      </c>
      <c r="V11">
        <f>'Non Linear Prediction'!W71</f>
        <v>-1</v>
      </c>
      <c r="W11">
        <f>'Non Linear Prediction'!X71</f>
        <v>-1</v>
      </c>
      <c r="X11">
        <f>'Non Linear Prediction'!Y71</f>
        <v>-1</v>
      </c>
      <c r="Y11">
        <f>'Non Linear Prediction'!Z71</f>
        <v>-1</v>
      </c>
      <c r="Z11">
        <f>'Non Linear Prediction'!AA71</f>
        <v>-1</v>
      </c>
      <c r="AA11">
        <f>'Non Linear Prediction'!AB71</f>
        <v>-1</v>
      </c>
      <c r="AB11">
        <f>'Non Linear Prediction'!AC71</f>
        <v>-1</v>
      </c>
      <c r="AC11">
        <f>'Non Linear Prediction'!AD71</f>
        <v>-1</v>
      </c>
      <c r="AD11">
        <f>'Non Linear Prediction'!AE71</f>
        <v>-1</v>
      </c>
      <c r="AE11">
        <f>'Non Linear Prediction'!AF71</f>
        <v>-1</v>
      </c>
      <c r="AF11">
        <f>'Non Linear Prediction'!AG71</f>
        <v>-1</v>
      </c>
      <c r="AG11">
        <f>'Non Linear Prediction'!AH71</f>
        <v>-1</v>
      </c>
      <c r="AH11">
        <f>'Non Linear Prediction'!AI71</f>
        <v>-1</v>
      </c>
      <c r="AI11">
        <f>'Non Linear Prediction'!AJ71</f>
        <v>-1</v>
      </c>
      <c r="AJ11">
        <f>'Non Linear Prediction'!AK71</f>
        <v>-1</v>
      </c>
      <c r="AK11">
        <f>'Non Linear Prediction'!AL71</f>
        <v>-1</v>
      </c>
      <c r="AL11">
        <f>'Non Linear Prediction'!AM71</f>
        <v>-1</v>
      </c>
      <c r="AM11">
        <f>'Non Linear Prediction'!AN71</f>
        <v>-1</v>
      </c>
      <c r="AN11">
        <f>'Non Linear Prediction'!AO71</f>
        <v>-1</v>
      </c>
      <c r="AO11">
        <f>'Non Linear Prediction'!AP71</f>
        <v>-1</v>
      </c>
    </row>
    <row r="12" spans="1:41" ht="5.0999999999999996" customHeight="1">
      <c r="A12">
        <f>'Non Linear Prediction'!B72</f>
        <v>1</v>
      </c>
      <c r="B12">
        <f>'Non Linear Prediction'!C72</f>
        <v>1</v>
      </c>
      <c r="C12">
        <f>'Non Linear Prediction'!D72</f>
        <v>1</v>
      </c>
      <c r="D12">
        <f>'Non Linear Prediction'!E72</f>
        <v>1</v>
      </c>
      <c r="E12">
        <f>'Non Linear Prediction'!F72</f>
        <v>1</v>
      </c>
      <c r="F12">
        <f>'Non Linear Prediction'!G72</f>
        <v>1</v>
      </c>
      <c r="G12">
        <f>'Non Linear Prediction'!H72</f>
        <v>1</v>
      </c>
      <c r="H12">
        <f>'Non Linear Prediction'!I72</f>
        <v>1</v>
      </c>
      <c r="I12">
        <f>'Non Linear Prediction'!J72</f>
        <v>1</v>
      </c>
      <c r="J12">
        <f>'Non Linear Prediction'!K72</f>
        <v>1</v>
      </c>
      <c r="K12">
        <f>'Non Linear Prediction'!L72</f>
        <v>1</v>
      </c>
      <c r="L12">
        <f>'Non Linear Prediction'!M72</f>
        <v>1</v>
      </c>
      <c r="M12">
        <f>'Non Linear Prediction'!N72</f>
        <v>1</v>
      </c>
      <c r="N12">
        <f>'Non Linear Prediction'!O72</f>
        <v>1</v>
      </c>
      <c r="O12">
        <f>'Non Linear Prediction'!P72</f>
        <v>1</v>
      </c>
      <c r="P12">
        <f>'Non Linear Prediction'!Q72</f>
        <v>1</v>
      </c>
      <c r="Q12">
        <f>'Non Linear Prediction'!R72</f>
        <v>1</v>
      </c>
      <c r="R12">
        <f>'Non Linear Prediction'!S72</f>
        <v>1</v>
      </c>
      <c r="S12">
        <f>'Non Linear Prediction'!T72</f>
        <v>-1</v>
      </c>
      <c r="T12">
        <f>'Non Linear Prediction'!U72</f>
        <v>-1</v>
      </c>
      <c r="U12">
        <f>'Non Linear Prediction'!V72</f>
        <v>-1</v>
      </c>
      <c r="V12">
        <f>'Non Linear Prediction'!W72</f>
        <v>-1</v>
      </c>
      <c r="W12">
        <f>'Non Linear Prediction'!X72</f>
        <v>-1</v>
      </c>
      <c r="X12">
        <f>'Non Linear Prediction'!Y72</f>
        <v>-1</v>
      </c>
      <c r="Y12">
        <f>'Non Linear Prediction'!Z72</f>
        <v>-1</v>
      </c>
      <c r="Z12">
        <f>'Non Linear Prediction'!AA72</f>
        <v>-1</v>
      </c>
      <c r="AA12">
        <f>'Non Linear Prediction'!AB72</f>
        <v>-1</v>
      </c>
      <c r="AB12">
        <f>'Non Linear Prediction'!AC72</f>
        <v>-1</v>
      </c>
      <c r="AC12">
        <f>'Non Linear Prediction'!AD72</f>
        <v>-1</v>
      </c>
      <c r="AD12">
        <f>'Non Linear Prediction'!AE72</f>
        <v>-1</v>
      </c>
      <c r="AE12">
        <f>'Non Linear Prediction'!AF72</f>
        <v>-1</v>
      </c>
      <c r="AF12">
        <f>'Non Linear Prediction'!AG72</f>
        <v>-1</v>
      </c>
      <c r="AG12">
        <f>'Non Linear Prediction'!AH72</f>
        <v>-1</v>
      </c>
      <c r="AH12">
        <f>'Non Linear Prediction'!AI72</f>
        <v>-1</v>
      </c>
      <c r="AI12">
        <f>'Non Linear Prediction'!AJ72</f>
        <v>-1</v>
      </c>
      <c r="AJ12">
        <f>'Non Linear Prediction'!AK72</f>
        <v>-1</v>
      </c>
      <c r="AK12">
        <f>'Non Linear Prediction'!AL72</f>
        <v>-1</v>
      </c>
      <c r="AL12">
        <f>'Non Linear Prediction'!AM72</f>
        <v>-1</v>
      </c>
      <c r="AM12">
        <f>'Non Linear Prediction'!AN72</f>
        <v>-1</v>
      </c>
      <c r="AN12">
        <f>'Non Linear Prediction'!AO72</f>
        <v>-1</v>
      </c>
      <c r="AO12">
        <f>'Non Linear Prediction'!AP72</f>
        <v>-1</v>
      </c>
    </row>
    <row r="13" spans="1:41" ht="5.0999999999999996" customHeight="1">
      <c r="A13">
        <f>'Non Linear Prediction'!B73</f>
        <v>1</v>
      </c>
      <c r="B13">
        <f>'Non Linear Prediction'!C73</f>
        <v>1</v>
      </c>
      <c r="C13">
        <f>'Non Linear Prediction'!D73</f>
        <v>1</v>
      </c>
      <c r="D13">
        <f>'Non Linear Prediction'!E73</f>
        <v>1</v>
      </c>
      <c r="E13">
        <f>'Non Linear Prediction'!F73</f>
        <v>1</v>
      </c>
      <c r="F13">
        <f>'Non Linear Prediction'!G73</f>
        <v>1</v>
      </c>
      <c r="G13">
        <f>'Non Linear Prediction'!H73</f>
        <v>1</v>
      </c>
      <c r="H13">
        <f>'Non Linear Prediction'!I73</f>
        <v>1</v>
      </c>
      <c r="I13">
        <f>'Non Linear Prediction'!J73</f>
        <v>1</v>
      </c>
      <c r="J13">
        <f>'Non Linear Prediction'!K73</f>
        <v>1</v>
      </c>
      <c r="K13">
        <f>'Non Linear Prediction'!L73</f>
        <v>1</v>
      </c>
      <c r="L13">
        <f>'Non Linear Prediction'!M73</f>
        <v>1</v>
      </c>
      <c r="M13">
        <f>'Non Linear Prediction'!N73</f>
        <v>1</v>
      </c>
      <c r="N13">
        <f>'Non Linear Prediction'!O73</f>
        <v>1</v>
      </c>
      <c r="O13">
        <f>'Non Linear Prediction'!P73</f>
        <v>1</v>
      </c>
      <c r="P13">
        <f>'Non Linear Prediction'!Q73</f>
        <v>1</v>
      </c>
      <c r="Q13">
        <f>'Non Linear Prediction'!R73</f>
        <v>1</v>
      </c>
      <c r="R13">
        <f>'Non Linear Prediction'!S73</f>
        <v>1</v>
      </c>
      <c r="S13">
        <f>'Non Linear Prediction'!T73</f>
        <v>1</v>
      </c>
      <c r="T13">
        <f>'Non Linear Prediction'!U73</f>
        <v>-1</v>
      </c>
      <c r="U13">
        <f>'Non Linear Prediction'!V73</f>
        <v>-1</v>
      </c>
      <c r="V13">
        <f>'Non Linear Prediction'!W73</f>
        <v>-1</v>
      </c>
      <c r="W13">
        <f>'Non Linear Prediction'!X73</f>
        <v>-1</v>
      </c>
      <c r="X13">
        <f>'Non Linear Prediction'!Y73</f>
        <v>-1</v>
      </c>
      <c r="Y13">
        <f>'Non Linear Prediction'!Z73</f>
        <v>-1</v>
      </c>
      <c r="Z13">
        <f>'Non Linear Prediction'!AA73</f>
        <v>-1</v>
      </c>
      <c r="AA13">
        <f>'Non Linear Prediction'!AB73</f>
        <v>-1</v>
      </c>
      <c r="AB13">
        <f>'Non Linear Prediction'!AC73</f>
        <v>-1</v>
      </c>
      <c r="AC13">
        <f>'Non Linear Prediction'!AD73</f>
        <v>-1</v>
      </c>
      <c r="AD13">
        <f>'Non Linear Prediction'!AE73</f>
        <v>-1</v>
      </c>
      <c r="AE13">
        <f>'Non Linear Prediction'!AF73</f>
        <v>-1</v>
      </c>
      <c r="AF13">
        <f>'Non Linear Prediction'!AG73</f>
        <v>-1</v>
      </c>
      <c r="AG13">
        <f>'Non Linear Prediction'!AH73</f>
        <v>-1</v>
      </c>
      <c r="AH13">
        <f>'Non Linear Prediction'!AI73</f>
        <v>-1</v>
      </c>
      <c r="AI13">
        <f>'Non Linear Prediction'!AJ73</f>
        <v>-1</v>
      </c>
      <c r="AJ13">
        <f>'Non Linear Prediction'!AK73</f>
        <v>-1</v>
      </c>
      <c r="AK13">
        <f>'Non Linear Prediction'!AL73</f>
        <v>-1</v>
      </c>
      <c r="AL13">
        <f>'Non Linear Prediction'!AM73</f>
        <v>-1</v>
      </c>
      <c r="AM13">
        <f>'Non Linear Prediction'!AN73</f>
        <v>-1</v>
      </c>
      <c r="AN13">
        <f>'Non Linear Prediction'!AO73</f>
        <v>-1</v>
      </c>
      <c r="AO13">
        <f>'Non Linear Prediction'!AP73</f>
        <v>-1</v>
      </c>
    </row>
    <row r="14" spans="1:41" ht="5.0999999999999996" customHeight="1">
      <c r="A14">
        <f>'Non Linear Prediction'!B74</f>
        <v>1</v>
      </c>
      <c r="B14">
        <f>'Non Linear Prediction'!C74</f>
        <v>1</v>
      </c>
      <c r="C14">
        <f>'Non Linear Prediction'!D74</f>
        <v>1</v>
      </c>
      <c r="D14">
        <f>'Non Linear Prediction'!E74</f>
        <v>1</v>
      </c>
      <c r="E14">
        <f>'Non Linear Prediction'!F74</f>
        <v>1</v>
      </c>
      <c r="F14">
        <f>'Non Linear Prediction'!G74</f>
        <v>1</v>
      </c>
      <c r="G14">
        <f>'Non Linear Prediction'!H74</f>
        <v>1</v>
      </c>
      <c r="H14">
        <f>'Non Linear Prediction'!I74</f>
        <v>1</v>
      </c>
      <c r="I14">
        <f>'Non Linear Prediction'!J74</f>
        <v>1</v>
      </c>
      <c r="J14">
        <f>'Non Linear Prediction'!K74</f>
        <v>1</v>
      </c>
      <c r="K14">
        <f>'Non Linear Prediction'!L74</f>
        <v>1</v>
      </c>
      <c r="L14">
        <f>'Non Linear Prediction'!M74</f>
        <v>1</v>
      </c>
      <c r="M14">
        <f>'Non Linear Prediction'!N74</f>
        <v>1</v>
      </c>
      <c r="N14">
        <f>'Non Linear Prediction'!O74</f>
        <v>1</v>
      </c>
      <c r="O14">
        <f>'Non Linear Prediction'!P74</f>
        <v>1</v>
      </c>
      <c r="P14">
        <f>'Non Linear Prediction'!Q74</f>
        <v>1</v>
      </c>
      <c r="Q14">
        <f>'Non Linear Prediction'!R74</f>
        <v>1</v>
      </c>
      <c r="R14">
        <f>'Non Linear Prediction'!S74</f>
        <v>1</v>
      </c>
      <c r="S14">
        <f>'Non Linear Prediction'!T74</f>
        <v>1</v>
      </c>
      <c r="T14">
        <f>'Non Linear Prediction'!U74</f>
        <v>-1</v>
      </c>
      <c r="U14">
        <f>'Non Linear Prediction'!V74</f>
        <v>-1</v>
      </c>
      <c r="V14">
        <f>'Non Linear Prediction'!W74</f>
        <v>-1</v>
      </c>
      <c r="W14">
        <f>'Non Linear Prediction'!X74</f>
        <v>-1</v>
      </c>
      <c r="X14">
        <f>'Non Linear Prediction'!Y74</f>
        <v>-1</v>
      </c>
      <c r="Y14">
        <f>'Non Linear Prediction'!Z74</f>
        <v>-1</v>
      </c>
      <c r="Z14">
        <f>'Non Linear Prediction'!AA74</f>
        <v>-1</v>
      </c>
      <c r="AA14">
        <f>'Non Linear Prediction'!AB74</f>
        <v>-1</v>
      </c>
      <c r="AB14">
        <f>'Non Linear Prediction'!AC74</f>
        <v>-1</v>
      </c>
      <c r="AC14">
        <f>'Non Linear Prediction'!AD74</f>
        <v>-1</v>
      </c>
      <c r="AD14">
        <f>'Non Linear Prediction'!AE74</f>
        <v>-1</v>
      </c>
      <c r="AE14">
        <f>'Non Linear Prediction'!AF74</f>
        <v>-1</v>
      </c>
      <c r="AF14">
        <f>'Non Linear Prediction'!AG74</f>
        <v>-1</v>
      </c>
      <c r="AG14">
        <f>'Non Linear Prediction'!AH74</f>
        <v>-1</v>
      </c>
      <c r="AH14">
        <f>'Non Linear Prediction'!AI74</f>
        <v>-1</v>
      </c>
      <c r="AI14">
        <f>'Non Linear Prediction'!AJ74</f>
        <v>-1</v>
      </c>
      <c r="AJ14">
        <f>'Non Linear Prediction'!AK74</f>
        <v>-1</v>
      </c>
      <c r="AK14">
        <f>'Non Linear Prediction'!AL74</f>
        <v>-1</v>
      </c>
      <c r="AL14">
        <f>'Non Linear Prediction'!AM74</f>
        <v>-1</v>
      </c>
      <c r="AM14">
        <f>'Non Linear Prediction'!AN74</f>
        <v>-1</v>
      </c>
      <c r="AN14">
        <f>'Non Linear Prediction'!AO74</f>
        <v>-1</v>
      </c>
      <c r="AO14">
        <f>'Non Linear Prediction'!AP74</f>
        <v>-1</v>
      </c>
    </row>
    <row r="15" spans="1:41" ht="5.0999999999999996" customHeight="1">
      <c r="A15">
        <f>'Non Linear Prediction'!B75</f>
        <v>1</v>
      </c>
      <c r="B15">
        <f>'Non Linear Prediction'!C75</f>
        <v>1</v>
      </c>
      <c r="C15">
        <f>'Non Linear Prediction'!D75</f>
        <v>1</v>
      </c>
      <c r="D15">
        <f>'Non Linear Prediction'!E75</f>
        <v>1</v>
      </c>
      <c r="E15">
        <f>'Non Linear Prediction'!F75</f>
        <v>1</v>
      </c>
      <c r="F15">
        <f>'Non Linear Prediction'!G75</f>
        <v>1</v>
      </c>
      <c r="G15">
        <f>'Non Linear Prediction'!H75</f>
        <v>1</v>
      </c>
      <c r="H15">
        <f>'Non Linear Prediction'!I75</f>
        <v>1</v>
      </c>
      <c r="I15">
        <f>'Non Linear Prediction'!J75</f>
        <v>1</v>
      </c>
      <c r="J15">
        <f>'Non Linear Prediction'!K75</f>
        <v>1</v>
      </c>
      <c r="K15">
        <f>'Non Linear Prediction'!L75</f>
        <v>1</v>
      </c>
      <c r="L15">
        <f>'Non Linear Prediction'!M75</f>
        <v>1</v>
      </c>
      <c r="M15">
        <f>'Non Linear Prediction'!N75</f>
        <v>1</v>
      </c>
      <c r="N15">
        <f>'Non Linear Prediction'!O75</f>
        <v>1</v>
      </c>
      <c r="O15">
        <f>'Non Linear Prediction'!P75</f>
        <v>1</v>
      </c>
      <c r="P15">
        <f>'Non Linear Prediction'!Q75</f>
        <v>1</v>
      </c>
      <c r="Q15">
        <f>'Non Linear Prediction'!R75</f>
        <v>1</v>
      </c>
      <c r="R15">
        <f>'Non Linear Prediction'!S75</f>
        <v>1</v>
      </c>
      <c r="S15">
        <f>'Non Linear Prediction'!T75</f>
        <v>1</v>
      </c>
      <c r="T15">
        <f>'Non Linear Prediction'!U75</f>
        <v>-1</v>
      </c>
      <c r="U15">
        <f>'Non Linear Prediction'!V75</f>
        <v>-1</v>
      </c>
      <c r="V15">
        <f>'Non Linear Prediction'!W75</f>
        <v>-1</v>
      </c>
      <c r="W15">
        <f>'Non Linear Prediction'!X75</f>
        <v>-1</v>
      </c>
      <c r="X15">
        <f>'Non Linear Prediction'!Y75</f>
        <v>-1</v>
      </c>
      <c r="Y15">
        <f>'Non Linear Prediction'!Z75</f>
        <v>-1</v>
      </c>
      <c r="Z15">
        <f>'Non Linear Prediction'!AA75</f>
        <v>-1</v>
      </c>
      <c r="AA15">
        <f>'Non Linear Prediction'!AB75</f>
        <v>-1</v>
      </c>
      <c r="AB15">
        <f>'Non Linear Prediction'!AC75</f>
        <v>-1</v>
      </c>
      <c r="AC15">
        <f>'Non Linear Prediction'!AD75</f>
        <v>-1</v>
      </c>
      <c r="AD15">
        <f>'Non Linear Prediction'!AE75</f>
        <v>-1</v>
      </c>
      <c r="AE15">
        <f>'Non Linear Prediction'!AF75</f>
        <v>-1</v>
      </c>
      <c r="AF15">
        <f>'Non Linear Prediction'!AG75</f>
        <v>-1</v>
      </c>
      <c r="AG15">
        <f>'Non Linear Prediction'!AH75</f>
        <v>-1</v>
      </c>
      <c r="AH15">
        <f>'Non Linear Prediction'!AI75</f>
        <v>-1</v>
      </c>
      <c r="AI15">
        <f>'Non Linear Prediction'!AJ75</f>
        <v>-1</v>
      </c>
      <c r="AJ15">
        <f>'Non Linear Prediction'!AK75</f>
        <v>-1</v>
      </c>
      <c r="AK15">
        <f>'Non Linear Prediction'!AL75</f>
        <v>-1</v>
      </c>
      <c r="AL15">
        <f>'Non Linear Prediction'!AM75</f>
        <v>-1</v>
      </c>
      <c r="AM15">
        <f>'Non Linear Prediction'!AN75</f>
        <v>-1</v>
      </c>
      <c r="AN15">
        <f>'Non Linear Prediction'!AO75</f>
        <v>-1</v>
      </c>
      <c r="AO15">
        <f>'Non Linear Prediction'!AP75</f>
        <v>-1</v>
      </c>
    </row>
    <row r="16" spans="1:41" ht="5.0999999999999996" customHeight="1">
      <c r="A16">
        <f>'Non Linear Prediction'!B76</f>
        <v>1</v>
      </c>
      <c r="B16">
        <f>'Non Linear Prediction'!C76</f>
        <v>1</v>
      </c>
      <c r="C16">
        <f>'Non Linear Prediction'!D76</f>
        <v>1</v>
      </c>
      <c r="D16">
        <f>'Non Linear Prediction'!E76</f>
        <v>1</v>
      </c>
      <c r="E16">
        <f>'Non Linear Prediction'!F76</f>
        <v>1</v>
      </c>
      <c r="F16">
        <f>'Non Linear Prediction'!G76</f>
        <v>1</v>
      </c>
      <c r="G16">
        <f>'Non Linear Prediction'!H76</f>
        <v>1</v>
      </c>
      <c r="H16">
        <f>'Non Linear Prediction'!I76</f>
        <v>1</v>
      </c>
      <c r="I16">
        <f>'Non Linear Prediction'!J76</f>
        <v>1</v>
      </c>
      <c r="J16">
        <f>'Non Linear Prediction'!K76</f>
        <v>1</v>
      </c>
      <c r="K16">
        <f>'Non Linear Prediction'!L76</f>
        <v>1</v>
      </c>
      <c r="L16">
        <f>'Non Linear Prediction'!M76</f>
        <v>1</v>
      </c>
      <c r="M16">
        <f>'Non Linear Prediction'!N76</f>
        <v>1</v>
      </c>
      <c r="N16">
        <f>'Non Linear Prediction'!O76</f>
        <v>1</v>
      </c>
      <c r="O16">
        <f>'Non Linear Prediction'!P76</f>
        <v>1</v>
      </c>
      <c r="P16">
        <f>'Non Linear Prediction'!Q76</f>
        <v>1</v>
      </c>
      <c r="Q16">
        <f>'Non Linear Prediction'!R76</f>
        <v>1</v>
      </c>
      <c r="R16">
        <f>'Non Linear Prediction'!S76</f>
        <v>1</v>
      </c>
      <c r="S16">
        <f>'Non Linear Prediction'!T76</f>
        <v>1</v>
      </c>
      <c r="T16">
        <f>'Non Linear Prediction'!U76</f>
        <v>-1</v>
      </c>
      <c r="U16">
        <f>'Non Linear Prediction'!V76</f>
        <v>-1</v>
      </c>
      <c r="V16">
        <f>'Non Linear Prediction'!W76</f>
        <v>-1</v>
      </c>
      <c r="W16">
        <f>'Non Linear Prediction'!X76</f>
        <v>-1</v>
      </c>
      <c r="X16">
        <f>'Non Linear Prediction'!Y76</f>
        <v>-1</v>
      </c>
      <c r="Y16">
        <f>'Non Linear Prediction'!Z76</f>
        <v>-1</v>
      </c>
      <c r="Z16">
        <f>'Non Linear Prediction'!AA76</f>
        <v>-1</v>
      </c>
      <c r="AA16">
        <f>'Non Linear Prediction'!AB76</f>
        <v>-1</v>
      </c>
      <c r="AB16">
        <f>'Non Linear Prediction'!AC76</f>
        <v>-1</v>
      </c>
      <c r="AC16">
        <f>'Non Linear Prediction'!AD76</f>
        <v>-1</v>
      </c>
      <c r="AD16">
        <f>'Non Linear Prediction'!AE76</f>
        <v>-1</v>
      </c>
      <c r="AE16">
        <f>'Non Linear Prediction'!AF76</f>
        <v>-1</v>
      </c>
      <c r="AF16">
        <f>'Non Linear Prediction'!AG76</f>
        <v>-1</v>
      </c>
      <c r="AG16">
        <f>'Non Linear Prediction'!AH76</f>
        <v>-1</v>
      </c>
      <c r="AH16">
        <f>'Non Linear Prediction'!AI76</f>
        <v>-1</v>
      </c>
      <c r="AI16">
        <f>'Non Linear Prediction'!AJ76</f>
        <v>-1</v>
      </c>
      <c r="AJ16">
        <f>'Non Linear Prediction'!AK76</f>
        <v>-1</v>
      </c>
      <c r="AK16">
        <f>'Non Linear Prediction'!AL76</f>
        <v>-1</v>
      </c>
      <c r="AL16">
        <f>'Non Linear Prediction'!AM76</f>
        <v>-1</v>
      </c>
      <c r="AM16">
        <f>'Non Linear Prediction'!AN76</f>
        <v>-1</v>
      </c>
      <c r="AN16">
        <f>'Non Linear Prediction'!AO76</f>
        <v>-1</v>
      </c>
      <c r="AO16">
        <f>'Non Linear Prediction'!AP76</f>
        <v>-1</v>
      </c>
    </row>
    <row r="17" spans="1:41" ht="5.0999999999999996" customHeight="1">
      <c r="A17">
        <f>'Non Linear Prediction'!B77</f>
        <v>1</v>
      </c>
      <c r="B17">
        <f>'Non Linear Prediction'!C77</f>
        <v>1</v>
      </c>
      <c r="C17">
        <f>'Non Linear Prediction'!D77</f>
        <v>1</v>
      </c>
      <c r="D17">
        <f>'Non Linear Prediction'!E77</f>
        <v>1</v>
      </c>
      <c r="E17">
        <f>'Non Linear Prediction'!F77</f>
        <v>1</v>
      </c>
      <c r="F17">
        <f>'Non Linear Prediction'!G77</f>
        <v>1</v>
      </c>
      <c r="G17">
        <f>'Non Linear Prediction'!H77</f>
        <v>1</v>
      </c>
      <c r="H17">
        <f>'Non Linear Prediction'!I77</f>
        <v>1</v>
      </c>
      <c r="I17">
        <f>'Non Linear Prediction'!J77</f>
        <v>1</v>
      </c>
      <c r="J17">
        <f>'Non Linear Prediction'!K77</f>
        <v>1</v>
      </c>
      <c r="K17">
        <f>'Non Linear Prediction'!L77</f>
        <v>1</v>
      </c>
      <c r="L17">
        <f>'Non Linear Prediction'!M77</f>
        <v>1</v>
      </c>
      <c r="M17">
        <f>'Non Linear Prediction'!N77</f>
        <v>1</v>
      </c>
      <c r="N17">
        <f>'Non Linear Prediction'!O77</f>
        <v>1</v>
      </c>
      <c r="O17">
        <f>'Non Linear Prediction'!P77</f>
        <v>1</v>
      </c>
      <c r="P17">
        <f>'Non Linear Prediction'!Q77</f>
        <v>1</v>
      </c>
      <c r="Q17">
        <f>'Non Linear Prediction'!R77</f>
        <v>1</v>
      </c>
      <c r="R17">
        <f>'Non Linear Prediction'!S77</f>
        <v>1</v>
      </c>
      <c r="S17">
        <f>'Non Linear Prediction'!T77</f>
        <v>1</v>
      </c>
      <c r="T17">
        <f>'Non Linear Prediction'!U77</f>
        <v>-1</v>
      </c>
      <c r="U17">
        <f>'Non Linear Prediction'!V77</f>
        <v>-1</v>
      </c>
      <c r="V17">
        <f>'Non Linear Prediction'!W77</f>
        <v>-1</v>
      </c>
      <c r="W17">
        <f>'Non Linear Prediction'!X77</f>
        <v>-1</v>
      </c>
      <c r="X17">
        <f>'Non Linear Prediction'!Y77</f>
        <v>-1</v>
      </c>
      <c r="Y17">
        <f>'Non Linear Prediction'!Z77</f>
        <v>-1</v>
      </c>
      <c r="Z17">
        <f>'Non Linear Prediction'!AA77</f>
        <v>-1</v>
      </c>
      <c r="AA17">
        <f>'Non Linear Prediction'!AB77</f>
        <v>-1</v>
      </c>
      <c r="AB17">
        <f>'Non Linear Prediction'!AC77</f>
        <v>-1</v>
      </c>
      <c r="AC17">
        <f>'Non Linear Prediction'!AD77</f>
        <v>-1</v>
      </c>
      <c r="AD17">
        <f>'Non Linear Prediction'!AE77</f>
        <v>-1</v>
      </c>
      <c r="AE17">
        <f>'Non Linear Prediction'!AF77</f>
        <v>-1</v>
      </c>
      <c r="AF17">
        <f>'Non Linear Prediction'!AG77</f>
        <v>-1</v>
      </c>
      <c r="AG17">
        <f>'Non Linear Prediction'!AH77</f>
        <v>-1</v>
      </c>
      <c r="AH17">
        <f>'Non Linear Prediction'!AI77</f>
        <v>-1</v>
      </c>
      <c r="AI17">
        <f>'Non Linear Prediction'!AJ77</f>
        <v>-1</v>
      </c>
      <c r="AJ17">
        <f>'Non Linear Prediction'!AK77</f>
        <v>-1</v>
      </c>
      <c r="AK17">
        <f>'Non Linear Prediction'!AL77</f>
        <v>-1</v>
      </c>
      <c r="AL17">
        <f>'Non Linear Prediction'!AM77</f>
        <v>-1</v>
      </c>
      <c r="AM17">
        <f>'Non Linear Prediction'!AN77</f>
        <v>-1</v>
      </c>
      <c r="AN17">
        <f>'Non Linear Prediction'!AO77</f>
        <v>-1</v>
      </c>
      <c r="AO17">
        <f>'Non Linear Prediction'!AP77</f>
        <v>-1</v>
      </c>
    </row>
    <row r="18" spans="1:41" ht="5.0999999999999996" customHeight="1">
      <c r="A18">
        <f>'Non Linear Prediction'!B78</f>
        <v>1</v>
      </c>
      <c r="B18">
        <f>'Non Linear Prediction'!C78</f>
        <v>1</v>
      </c>
      <c r="C18">
        <f>'Non Linear Prediction'!D78</f>
        <v>1</v>
      </c>
      <c r="D18">
        <f>'Non Linear Prediction'!E78</f>
        <v>1</v>
      </c>
      <c r="E18">
        <f>'Non Linear Prediction'!F78</f>
        <v>1</v>
      </c>
      <c r="F18">
        <f>'Non Linear Prediction'!G78</f>
        <v>1</v>
      </c>
      <c r="G18">
        <f>'Non Linear Prediction'!H78</f>
        <v>1</v>
      </c>
      <c r="H18">
        <f>'Non Linear Prediction'!I78</f>
        <v>1</v>
      </c>
      <c r="I18">
        <f>'Non Linear Prediction'!J78</f>
        <v>1</v>
      </c>
      <c r="J18">
        <f>'Non Linear Prediction'!K78</f>
        <v>1</v>
      </c>
      <c r="K18">
        <f>'Non Linear Prediction'!L78</f>
        <v>1</v>
      </c>
      <c r="L18">
        <f>'Non Linear Prediction'!M78</f>
        <v>1</v>
      </c>
      <c r="M18">
        <f>'Non Linear Prediction'!N78</f>
        <v>1</v>
      </c>
      <c r="N18">
        <f>'Non Linear Prediction'!O78</f>
        <v>1</v>
      </c>
      <c r="O18">
        <f>'Non Linear Prediction'!P78</f>
        <v>1</v>
      </c>
      <c r="P18">
        <f>'Non Linear Prediction'!Q78</f>
        <v>1</v>
      </c>
      <c r="Q18">
        <f>'Non Linear Prediction'!R78</f>
        <v>1</v>
      </c>
      <c r="R18">
        <f>'Non Linear Prediction'!S78</f>
        <v>1</v>
      </c>
      <c r="S18">
        <f>'Non Linear Prediction'!T78</f>
        <v>1</v>
      </c>
      <c r="T18">
        <f>'Non Linear Prediction'!U78</f>
        <v>-1</v>
      </c>
      <c r="U18">
        <f>'Non Linear Prediction'!V78</f>
        <v>-1</v>
      </c>
      <c r="V18">
        <f>'Non Linear Prediction'!W78</f>
        <v>-1</v>
      </c>
      <c r="W18">
        <f>'Non Linear Prediction'!X78</f>
        <v>-1</v>
      </c>
      <c r="X18">
        <f>'Non Linear Prediction'!Y78</f>
        <v>-1</v>
      </c>
      <c r="Y18">
        <f>'Non Linear Prediction'!Z78</f>
        <v>-1</v>
      </c>
      <c r="Z18">
        <f>'Non Linear Prediction'!AA78</f>
        <v>-1</v>
      </c>
      <c r="AA18">
        <f>'Non Linear Prediction'!AB78</f>
        <v>-1</v>
      </c>
      <c r="AB18">
        <f>'Non Linear Prediction'!AC78</f>
        <v>-1</v>
      </c>
      <c r="AC18">
        <f>'Non Linear Prediction'!AD78</f>
        <v>-1</v>
      </c>
      <c r="AD18">
        <f>'Non Linear Prediction'!AE78</f>
        <v>-1</v>
      </c>
      <c r="AE18">
        <f>'Non Linear Prediction'!AF78</f>
        <v>-1</v>
      </c>
      <c r="AF18">
        <f>'Non Linear Prediction'!AG78</f>
        <v>-1</v>
      </c>
      <c r="AG18">
        <f>'Non Linear Prediction'!AH78</f>
        <v>-1</v>
      </c>
      <c r="AH18">
        <f>'Non Linear Prediction'!AI78</f>
        <v>-1</v>
      </c>
      <c r="AI18">
        <f>'Non Linear Prediction'!AJ78</f>
        <v>-1</v>
      </c>
      <c r="AJ18">
        <f>'Non Linear Prediction'!AK78</f>
        <v>-1</v>
      </c>
      <c r="AK18">
        <f>'Non Linear Prediction'!AL78</f>
        <v>-1</v>
      </c>
      <c r="AL18">
        <f>'Non Linear Prediction'!AM78</f>
        <v>-1</v>
      </c>
      <c r="AM18">
        <f>'Non Linear Prediction'!AN78</f>
        <v>-1</v>
      </c>
      <c r="AN18">
        <f>'Non Linear Prediction'!AO78</f>
        <v>-1</v>
      </c>
      <c r="AO18">
        <f>'Non Linear Prediction'!AP78</f>
        <v>1</v>
      </c>
    </row>
    <row r="19" spans="1:41" ht="5.0999999999999996" customHeight="1">
      <c r="A19">
        <f>'Non Linear Prediction'!B79</f>
        <v>1</v>
      </c>
      <c r="B19">
        <f>'Non Linear Prediction'!C79</f>
        <v>1</v>
      </c>
      <c r="C19">
        <f>'Non Linear Prediction'!D79</f>
        <v>1</v>
      </c>
      <c r="D19">
        <f>'Non Linear Prediction'!E79</f>
        <v>1</v>
      </c>
      <c r="E19">
        <f>'Non Linear Prediction'!F79</f>
        <v>1</v>
      </c>
      <c r="F19">
        <f>'Non Linear Prediction'!G79</f>
        <v>1</v>
      </c>
      <c r="G19">
        <f>'Non Linear Prediction'!H79</f>
        <v>1</v>
      </c>
      <c r="H19">
        <f>'Non Linear Prediction'!I79</f>
        <v>1</v>
      </c>
      <c r="I19">
        <f>'Non Linear Prediction'!J79</f>
        <v>1</v>
      </c>
      <c r="J19">
        <f>'Non Linear Prediction'!K79</f>
        <v>1</v>
      </c>
      <c r="K19">
        <f>'Non Linear Prediction'!L79</f>
        <v>1</v>
      </c>
      <c r="L19">
        <f>'Non Linear Prediction'!M79</f>
        <v>1</v>
      </c>
      <c r="M19">
        <f>'Non Linear Prediction'!N79</f>
        <v>1</v>
      </c>
      <c r="N19">
        <f>'Non Linear Prediction'!O79</f>
        <v>1</v>
      </c>
      <c r="O19">
        <f>'Non Linear Prediction'!P79</f>
        <v>1</v>
      </c>
      <c r="P19">
        <f>'Non Linear Prediction'!Q79</f>
        <v>1</v>
      </c>
      <c r="Q19">
        <f>'Non Linear Prediction'!R79</f>
        <v>1</v>
      </c>
      <c r="R19">
        <f>'Non Linear Prediction'!S79</f>
        <v>1</v>
      </c>
      <c r="S19">
        <f>'Non Linear Prediction'!T79</f>
        <v>1</v>
      </c>
      <c r="T19">
        <f>'Non Linear Prediction'!U79</f>
        <v>-1</v>
      </c>
      <c r="U19">
        <f>'Non Linear Prediction'!V79</f>
        <v>-1</v>
      </c>
      <c r="V19">
        <f>'Non Linear Prediction'!W79</f>
        <v>-1</v>
      </c>
      <c r="W19">
        <f>'Non Linear Prediction'!X79</f>
        <v>-1</v>
      </c>
      <c r="X19">
        <f>'Non Linear Prediction'!Y79</f>
        <v>-1</v>
      </c>
      <c r="Y19">
        <f>'Non Linear Prediction'!Z79</f>
        <v>-1</v>
      </c>
      <c r="Z19">
        <f>'Non Linear Prediction'!AA79</f>
        <v>-1</v>
      </c>
      <c r="AA19">
        <f>'Non Linear Prediction'!AB79</f>
        <v>-1</v>
      </c>
      <c r="AB19">
        <f>'Non Linear Prediction'!AC79</f>
        <v>-1</v>
      </c>
      <c r="AC19">
        <f>'Non Linear Prediction'!AD79</f>
        <v>-1</v>
      </c>
      <c r="AD19">
        <f>'Non Linear Prediction'!AE79</f>
        <v>-1</v>
      </c>
      <c r="AE19">
        <f>'Non Linear Prediction'!AF79</f>
        <v>-1</v>
      </c>
      <c r="AF19">
        <f>'Non Linear Prediction'!AG79</f>
        <v>-1</v>
      </c>
      <c r="AG19">
        <f>'Non Linear Prediction'!AH79</f>
        <v>-1</v>
      </c>
      <c r="AH19">
        <f>'Non Linear Prediction'!AI79</f>
        <v>-1</v>
      </c>
      <c r="AI19">
        <f>'Non Linear Prediction'!AJ79</f>
        <v>-1</v>
      </c>
      <c r="AJ19">
        <f>'Non Linear Prediction'!AK79</f>
        <v>-1</v>
      </c>
      <c r="AK19">
        <f>'Non Linear Prediction'!AL79</f>
        <v>-1</v>
      </c>
      <c r="AL19">
        <f>'Non Linear Prediction'!AM79</f>
        <v>-1</v>
      </c>
      <c r="AM19">
        <f>'Non Linear Prediction'!AN79</f>
        <v>-1</v>
      </c>
      <c r="AN19">
        <f>'Non Linear Prediction'!AO79</f>
        <v>1</v>
      </c>
      <c r="AO19">
        <f>'Non Linear Prediction'!AP79</f>
        <v>1</v>
      </c>
    </row>
    <row r="20" spans="1:41" ht="5.0999999999999996" customHeight="1">
      <c r="A20">
        <f>'Non Linear Prediction'!B80</f>
        <v>1</v>
      </c>
      <c r="B20">
        <f>'Non Linear Prediction'!C80</f>
        <v>1</v>
      </c>
      <c r="C20">
        <f>'Non Linear Prediction'!D80</f>
        <v>1</v>
      </c>
      <c r="D20">
        <f>'Non Linear Prediction'!E80</f>
        <v>1</v>
      </c>
      <c r="E20">
        <f>'Non Linear Prediction'!F80</f>
        <v>1</v>
      </c>
      <c r="F20">
        <f>'Non Linear Prediction'!G80</f>
        <v>1</v>
      </c>
      <c r="G20">
        <f>'Non Linear Prediction'!H80</f>
        <v>1</v>
      </c>
      <c r="H20">
        <f>'Non Linear Prediction'!I80</f>
        <v>1</v>
      </c>
      <c r="I20">
        <f>'Non Linear Prediction'!J80</f>
        <v>1</v>
      </c>
      <c r="J20">
        <f>'Non Linear Prediction'!K80</f>
        <v>1</v>
      </c>
      <c r="K20">
        <f>'Non Linear Prediction'!L80</f>
        <v>1</v>
      </c>
      <c r="L20">
        <f>'Non Linear Prediction'!M80</f>
        <v>1</v>
      </c>
      <c r="M20">
        <f>'Non Linear Prediction'!N80</f>
        <v>1</v>
      </c>
      <c r="N20">
        <f>'Non Linear Prediction'!O80</f>
        <v>1</v>
      </c>
      <c r="O20">
        <f>'Non Linear Prediction'!P80</f>
        <v>1</v>
      </c>
      <c r="P20">
        <f>'Non Linear Prediction'!Q80</f>
        <v>1</v>
      </c>
      <c r="Q20">
        <f>'Non Linear Prediction'!R80</f>
        <v>1</v>
      </c>
      <c r="R20">
        <f>'Non Linear Prediction'!S80</f>
        <v>1</v>
      </c>
      <c r="S20">
        <f>'Non Linear Prediction'!T80</f>
        <v>1</v>
      </c>
      <c r="T20">
        <f>'Non Linear Prediction'!U80</f>
        <v>-1</v>
      </c>
      <c r="U20">
        <f>'Non Linear Prediction'!V80</f>
        <v>-1</v>
      </c>
      <c r="V20">
        <f>'Non Linear Prediction'!W80</f>
        <v>-1</v>
      </c>
      <c r="W20">
        <f>'Non Linear Prediction'!X80</f>
        <v>-1</v>
      </c>
      <c r="X20">
        <f>'Non Linear Prediction'!Y80</f>
        <v>-1</v>
      </c>
      <c r="Y20">
        <f>'Non Linear Prediction'!Z80</f>
        <v>-1</v>
      </c>
      <c r="Z20">
        <f>'Non Linear Prediction'!AA80</f>
        <v>-1</v>
      </c>
      <c r="AA20">
        <f>'Non Linear Prediction'!AB80</f>
        <v>-1</v>
      </c>
      <c r="AB20">
        <f>'Non Linear Prediction'!AC80</f>
        <v>-1</v>
      </c>
      <c r="AC20">
        <f>'Non Linear Prediction'!AD80</f>
        <v>-1</v>
      </c>
      <c r="AD20">
        <f>'Non Linear Prediction'!AE80</f>
        <v>-1</v>
      </c>
      <c r="AE20">
        <f>'Non Linear Prediction'!AF80</f>
        <v>-1</v>
      </c>
      <c r="AF20">
        <f>'Non Linear Prediction'!AG80</f>
        <v>-1</v>
      </c>
      <c r="AG20">
        <f>'Non Linear Prediction'!AH80</f>
        <v>-1</v>
      </c>
      <c r="AH20">
        <f>'Non Linear Prediction'!AI80</f>
        <v>-1</v>
      </c>
      <c r="AI20">
        <f>'Non Linear Prediction'!AJ80</f>
        <v>-1</v>
      </c>
      <c r="AJ20">
        <f>'Non Linear Prediction'!AK80</f>
        <v>-1</v>
      </c>
      <c r="AK20">
        <f>'Non Linear Prediction'!AL80</f>
        <v>-1</v>
      </c>
      <c r="AL20">
        <f>'Non Linear Prediction'!AM80</f>
        <v>-1</v>
      </c>
      <c r="AM20">
        <f>'Non Linear Prediction'!AN80</f>
        <v>1</v>
      </c>
      <c r="AN20">
        <f>'Non Linear Prediction'!AO80</f>
        <v>1</v>
      </c>
      <c r="AO20">
        <f>'Non Linear Prediction'!AP80</f>
        <v>1</v>
      </c>
    </row>
    <row r="21" spans="1:41" ht="5.0999999999999996" customHeight="1">
      <c r="A21">
        <f>'Non Linear Prediction'!B81</f>
        <v>1</v>
      </c>
      <c r="B21">
        <f>'Non Linear Prediction'!C81</f>
        <v>1</v>
      </c>
      <c r="C21">
        <f>'Non Linear Prediction'!D81</f>
        <v>1</v>
      </c>
      <c r="D21">
        <f>'Non Linear Prediction'!E81</f>
        <v>1</v>
      </c>
      <c r="E21">
        <f>'Non Linear Prediction'!F81</f>
        <v>1</v>
      </c>
      <c r="F21">
        <f>'Non Linear Prediction'!G81</f>
        <v>1</v>
      </c>
      <c r="G21">
        <f>'Non Linear Prediction'!H81</f>
        <v>1</v>
      </c>
      <c r="H21">
        <f>'Non Linear Prediction'!I81</f>
        <v>1</v>
      </c>
      <c r="I21">
        <f>'Non Linear Prediction'!J81</f>
        <v>1</v>
      </c>
      <c r="J21">
        <f>'Non Linear Prediction'!K81</f>
        <v>1</v>
      </c>
      <c r="K21">
        <f>'Non Linear Prediction'!L81</f>
        <v>1</v>
      </c>
      <c r="L21">
        <f>'Non Linear Prediction'!M81</f>
        <v>1</v>
      </c>
      <c r="M21">
        <f>'Non Linear Prediction'!N81</f>
        <v>1</v>
      </c>
      <c r="N21">
        <f>'Non Linear Prediction'!O81</f>
        <v>1</v>
      </c>
      <c r="O21">
        <f>'Non Linear Prediction'!P81</f>
        <v>1</v>
      </c>
      <c r="P21">
        <f>'Non Linear Prediction'!Q81</f>
        <v>1</v>
      </c>
      <c r="Q21">
        <f>'Non Linear Prediction'!R81</f>
        <v>1</v>
      </c>
      <c r="R21">
        <f>'Non Linear Prediction'!S81</f>
        <v>1</v>
      </c>
      <c r="S21">
        <f>'Non Linear Prediction'!T81</f>
        <v>1</v>
      </c>
      <c r="T21">
        <f>'Non Linear Prediction'!U81</f>
        <v>-1</v>
      </c>
      <c r="U21">
        <f>'Non Linear Prediction'!V81</f>
        <v>-1</v>
      </c>
      <c r="V21">
        <f>'Non Linear Prediction'!W81</f>
        <v>-1</v>
      </c>
      <c r="W21">
        <f>'Non Linear Prediction'!X81</f>
        <v>-1</v>
      </c>
      <c r="X21">
        <f>'Non Linear Prediction'!Y81</f>
        <v>-1</v>
      </c>
      <c r="Y21">
        <f>'Non Linear Prediction'!Z81</f>
        <v>-1</v>
      </c>
      <c r="Z21">
        <f>'Non Linear Prediction'!AA81</f>
        <v>-1</v>
      </c>
      <c r="AA21">
        <f>'Non Linear Prediction'!AB81</f>
        <v>-1</v>
      </c>
      <c r="AB21">
        <f>'Non Linear Prediction'!AC81</f>
        <v>-1</v>
      </c>
      <c r="AC21">
        <f>'Non Linear Prediction'!AD81</f>
        <v>-1</v>
      </c>
      <c r="AD21">
        <f>'Non Linear Prediction'!AE81</f>
        <v>-1</v>
      </c>
      <c r="AE21">
        <f>'Non Linear Prediction'!AF81</f>
        <v>-1</v>
      </c>
      <c r="AF21">
        <f>'Non Linear Prediction'!AG81</f>
        <v>-1</v>
      </c>
      <c r="AG21">
        <f>'Non Linear Prediction'!AH81</f>
        <v>-1</v>
      </c>
      <c r="AH21">
        <f>'Non Linear Prediction'!AI81</f>
        <v>-1</v>
      </c>
      <c r="AI21">
        <f>'Non Linear Prediction'!AJ81</f>
        <v>-1</v>
      </c>
      <c r="AJ21">
        <f>'Non Linear Prediction'!AK81</f>
        <v>-1</v>
      </c>
      <c r="AK21">
        <f>'Non Linear Prediction'!AL81</f>
        <v>-1</v>
      </c>
      <c r="AL21">
        <f>'Non Linear Prediction'!AM81</f>
        <v>1</v>
      </c>
      <c r="AM21">
        <f>'Non Linear Prediction'!AN81</f>
        <v>1</v>
      </c>
      <c r="AN21">
        <f>'Non Linear Prediction'!AO81</f>
        <v>1</v>
      </c>
      <c r="AO21">
        <f>'Non Linear Prediction'!AP81</f>
        <v>1</v>
      </c>
    </row>
    <row r="22" spans="1:41" ht="5.0999999999999996" customHeight="1">
      <c r="A22">
        <f>'Non Linear Prediction'!B82</f>
        <v>1</v>
      </c>
      <c r="B22">
        <f>'Non Linear Prediction'!C82</f>
        <v>1</v>
      </c>
      <c r="C22">
        <f>'Non Linear Prediction'!D82</f>
        <v>1</v>
      </c>
      <c r="D22">
        <f>'Non Linear Prediction'!E82</f>
        <v>1</v>
      </c>
      <c r="E22">
        <f>'Non Linear Prediction'!F82</f>
        <v>1</v>
      </c>
      <c r="F22">
        <f>'Non Linear Prediction'!G82</f>
        <v>1</v>
      </c>
      <c r="G22">
        <f>'Non Linear Prediction'!H82</f>
        <v>1</v>
      </c>
      <c r="H22">
        <f>'Non Linear Prediction'!I82</f>
        <v>1</v>
      </c>
      <c r="I22">
        <f>'Non Linear Prediction'!J82</f>
        <v>1</v>
      </c>
      <c r="J22">
        <f>'Non Linear Prediction'!K82</f>
        <v>1</v>
      </c>
      <c r="K22">
        <f>'Non Linear Prediction'!L82</f>
        <v>1</v>
      </c>
      <c r="L22">
        <f>'Non Linear Prediction'!M82</f>
        <v>1</v>
      </c>
      <c r="M22">
        <f>'Non Linear Prediction'!N82</f>
        <v>1</v>
      </c>
      <c r="N22">
        <f>'Non Linear Prediction'!O82</f>
        <v>1</v>
      </c>
      <c r="O22">
        <f>'Non Linear Prediction'!P82</f>
        <v>1</v>
      </c>
      <c r="P22">
        <f>'Non Linear Prediction'!Q82</f>
        <v>1</v>
      </c>
      <c r="Q22">
        <f>'Non Linear Prediction'!R82</f>
        <v>1</v>
      </c>
      <c r="R22">
        <f>'Non Linear Prediction'!S82</f>
        <v>1</v>
      </c>
      <c r="S22">
        <f>'Non Linear Prediction'!T82</f>
        <v>1</v>
      </c>
      <c r="T22">
        <f>'Non Linear Prediction'!U82</f>
        <v>-1</v>
      </c>
      <c r="U22">
        <f>'Non Linear Prediction'!V82</f>
        <v>-1</v>
      </c>
      <c r="V22">
        <f>'Non Linear Prediction'!W82</f>
        <v>-1</v>
      </c>
      <c r="W22">
        <f>'Non Linear Prediction'!X82</f>
        <v>-1</v>
      </c>
      <c r="X22">
        <f>'Non Linear Prediction'!Y82</f>
        <v>-1</v>
      </c>
      <c r="Y22">
        <f>'Non Linear Prediction'!Z82</f>
        <v>-1</v>
      </c>
      <c r="Z22">
        <f>'Non Linear Prediction'!AA82</f>
        <v>-1</v>
      </c>
      <c r="AA22">
        <f>'Non Linear Prediction'!AB82</f>
        <v>-1</v>
      </c>
      <c r="AB22">
        <f>'Non Linear Prediction'!AC82</f>
        <v>-1</v>
      </c>
      <c r="AC22">
        <f>'Non Linear Prediction'!AD82</f>
        <v>-1</v>
      </c>
      <c r="AD22">
        <f>'Non Linear Prediction'!AE82</f>
        <v>-1</v>
      </c>
      <c r="AE22">
        <f>'Non Linear Prediction'!AF82</f>
        <v>-1</v>
      </c>
      <c r="AF22">
        <f>'Non Linear Prediction'!AG82</f>
        <v>-1</v>
      </c>
      <c r="AG22">
        <f>'Non Linear Prediction'!AH82</f>
        <v>-1</v>
      </c>
      <c r="AH22">
        <f>'Non Linear Prediction'!AI82</f>
        <v>-1</v>
      </c>
      <c r="AI22">
        <f>'Non Linear Prediction'!AJ82</f>
        <v>-1</v>
      </c>
      <c r="AJ22">
        <f>'Non Linear Prediction'!AK82</f>
        <v>-1</v>
      </c>
      <c r="AK22">
        <f>'Non Linear Prediction'!AL82</f>
        <v>1</v>
      </c>
      <c r="AL22">
        <f>'Non Linear Prediction'!AM82</f>
        <v>1</v>
      </c>
      <c r="AM22">
        <f>'Non Linear Prediction'!AN82</f>
        <v>1</v>
      </c>
      <c r="AN22">
        <f>'Non Linear Prediction'!AO82</f>
        <v>1</v>
      </c>
      <c r="AO22">
        <f>'Non Linear Prediction'!AP82</f>
        <v>1</v>
      </c>
    </row>
    <row r="23" spans="1:41" ht="5.0999999999999996" customHeight="1">
      <c r="A23">
        <f>'Non Linear Prediction'!B83</f>
        <v>1</v>
      </c>
      <c r="B23">
        <f>'Non Linear Prediction'!C83</f>
        <v>1</v>
      </c>
      <c r="C23">
        <f>'Non Linear Prediction'!D83</f>
        <v>1</v>
      </c>
      <c r="D23">
        <f>'Non Linear Prediction'!E83</f>
        <v>1</v>
      </c>
      <c r="E23">
        <f>'Non Linear Prediction'!F83</f>
        <v>1</v>
      </c>
      <c r="F23">
        <f>'Non Linear Prediction'!G83</f>
        <v>1</v>
      </c>
      <c r="G23">
        <f>'Non Linear Prediction'!H83</f>
        <v>1</v>
      </c>
      <c r="H23">
        <f>'Non Linear Prediction'!I83</f>
        <v>1</v>
      </c>
      <c r="I23">
        <f>'Non Linear Prediction'!J83</f>
        <v>1</v>
      </c>
      <c r="J23">
        <f>'Non Linear Prediction'!K83</f>
        <v>1</v>
      </c>
      <c r="K23">
        <f>'Non Linear Prediction'!L83</f>
        <v>1</v>
      </c>
      <c r="L23">
        <f>'Non Linear Prediction'!M83</f>
        <v>1</v>
      </c>
      <c r="M23">
        <f>'Non Linear Prediction'!N83</f>
        <v>1</v>
      </c>
      <c r="N23">
        <f>'Non Linear Prediction'!O83</f>
        <v>1</v>
      </c>
      <c r="O23">
        <f>'Non Linear Prediction'!P83</f>
        <v>1</v>
      </c>
      <c r="P23">
        <f>'Non Linear Prediction'!Q83</f>
        <v>1</v>
      </c>
      <c r="Q23">
        <f>'Non Linear Prediction'!R83</f>
        <v>1</v>
      </c>
      <c r="R23">
        <f>'Non Linear Prediction'!S83</f>
        <v>1</v>
      </c>
      <c r="S23">
        <f>'Non Linear Prediction'!T83</f>
        <v>1</v>
      </c>
      <c r="T23">
        <f>'Non Linear Prediction'!U83</f>
        <v>-1</v>
      </c>
      <c r="U23">
        <f>'Non Linear Prediction'!V83</f>
        <v>-1</v>
      </c>
      <c r="V23">
        <f>'Non Linear Prediction'!W83</f>
        <v>-1</v>
      </c>
      <c r="W23">
        <f>'Non Linear Prediction'!X83</f>
        <v>-1</v>
      </c>
      <c r="X23">
        <f>'Non Linear Prediction'!Y83</f>
        <v>-1</v>
      </c>
      <c r="Y23">
        <f>'Non Linear Prediction'!Z83</f>
        <v>-1</v>
      </c>
      <c r="Z23">
        <f>'Non Linear Prediction'!AA83</f>
        <v>-1</v>
      </c>
      <c r="AA23">
        <f>'Non Linear Prediction'!AB83</f>
        <v>-1</v>
      </c>
      <c r="AB23">
        <f>'Non Linear Prediction'!AC83</f>
        <v>-1</v>
      </c>
      <c r="AC23">
        <f>'Non Linear Prediction'!AD83</f>
        <v>-1</v>
      </c>
      <c r="AD23">
        <f>'Non Linear Prediction'!AE83</f>
        <v>-1</v>
      </c>
      <c r="AE23">
        <f>'Non Linear Prediction'!AF83</f>
        <v>-1</v>
      </c>
      <c r="AF23">
        <f>'Non Linear Prediction'!AG83</f>
        <v>-1</v>
      </c>
      <c r="AG23">
        <f>'Non Linear Prediction'!AH83</f>
        <v>-1</v>
      </c>
      <c r="AH23">
        <f>'Non Linear Prediction'!AI83</f>
        <v>-1</v>
      </c>
      <c r="AI23">
        <f>'Non Linear Prediction'!AJ83</f>
        <v>-1</v>
      </c>
      <c r="AJ23">
        <f>'Non Linear Prediction'!AK83</f>
        <v>1</v>
      </c>
      <c r="AK23">
        <f>'Non Linear Prediction'!AL83</f>
        <v>1</v>
      </c>
      <c r="AL23">
        <f>'Non Linear Prediction'!AM83</f>
        <v>1</v>
      </c>
      <c r="AM23">
        <f>'Non Linear Prediction'!AN83</f>
        <v>1</v>
      </c>
      <c r="AN23">
        <f>'Non Linear Prediction'!AO83</f>
        <v>1</v>
      </c>
      <c r="AO23">
        <f>'Non Linear Prediction'!AP83</f>
        <v>1</v>
      </c>
    </row>
    <row r="24" spans="1:41" ht="5.0999999999999996" customHeight="1">
      <c r="A24">
        <f>'Non Linear Prediction'!B84</f>
        <v>1</v>
      </c>
      <c r="B24">
        <f>'Non Linear Prediction'!C84</f>
        <v>1</v>
      </c>
      <c r="C24">
        <f>'Non Linear Prediction'!D84</f>
        <v>1</v>
      </c>
      <c r="D24">
        <f>'Non Linear Prediction'!E84</f>
        <v>1</v>
      </c>
      <c r="E24">
        <f>'Non Linear Prediction'!F84</f>
        <v>1</v>
      </c>
      <c r="F24">
        <f>'Non Linear Prediction'!G84</f>
        <v>1</v>
      </c>
      <c r="G24">
        <f>'Non Linear Prediction'!H84</f>
        <v>1</v>
      </c>
      <c r="H24">
        <f>'Non Linear Prediction'!I84</f>
        <v>1</v>
      </c>
      <c r="I24">
        <f>'Non Linear Prediction'!J84</f>
        <v>1</v>
      </c>
      <c r="J24">
        <f>'Non Linear Prediction'!K84</f>
        <v>1</v>
      </c>
      <c r="K24">
        <f>'Non Linear Prediction'!L84</f>
        <v>1</v>
      </c>
      <c r="L24">
        <f>'Non Linear Prediction'!M84</f>
        <v>1</v>
      </c>
      <c r="M24">
        <f>'Non Linear Prediction'!N84</f>
        <v>1</v>
      </c>
      <c r="N24">
        <f>'Non Linear Prediction'!O84</f>
        <v>1</v>
      </c>
      <c r="O24">
        <f>'Non Linear Prediction'!P84</f>
        <v>1</v>
      </c>
      <c r="P24">
        <f>'Non Linear Prediction'!Q84</f>
        <v>1</v>
      </c>
      <c r="Q24">
        <f>'Non Linear Prediction'!R84</f>
        <v>1</v>
      </c>
      <c r="R24">
        <f>'Non Linear Prediction'!S84</f>
        <v>1</v>
      </c>
      <c r="S24">
        <f>'Non Linear Prediction'!T84</f>
        <v>-1</v>
      </c>
      <c r="T24">
        <f>'Non Linear Prediction'!U84</f>
        <v>-1</v>
      </c>
      <c r="U24">
        <f>'Non Linear Prediction'!V84</f>
        <v>-1</v>
      </c>
      <c r="V24">
        <f>'Non Linear Prediction'!W84</f>
        <v>-1</v>
      </c>
      <c r="W24">
        <f>'Non Linear Prediction'!X84</f>
        <v>-1</v>
      </c>
      <c r="X24">
        <f>'Non Linear Prediction'!Y84</f>
        <v>-1</v>
      </c>
      <c r="Y24">
        <f>'Non Linear Prediction'!Z84</f>
        <v>-1</v>
      </c>
      <c r="Z24">
        <f>'Non Linear Prediction'!AA84</f>
        <v>-1</v>
      </c>
      <c r="AA24">
        <f>'Non Linear Prediction'!AB84</f>
        <v>-1</v>
      </c>
      <c r="AB24">
        <f>'Non Linear Prediction'!AC84</f>
        <v>-1</v>
      </c>
      <c r="AC24">
        <f>'Non Linear Prediction'!AD84</f>
        <v>-1</v>
      </c>
      <c r="AD24">
        <f>'Non Linear Prediction'!AE84</f>
        <v>-1</v>
      </c>
      <c r="AE24">
        <f>'Non Linear Prediction'!AF84</f>
        <v>-1</v>
      </c>
      <c r="AF24">
        <f>'Non Linear Prediction'!AG84</f>
        <v>-1</v>
      </c>
      <c r="AG24">
        <f>'Non Linear Prediction'!AH84</f>
        <v>-1</v>
      </c>
      <c r="AH24">
        <f>'Non Linear Prediction'!AI84</f>
        <v>-1</v>
      </c>
      <c r="AI24">
        <f>'Non Linear Prediction'!AJ84</f>
        <v>1</v>
      </c>
      <c r="AJ24">
        <f>'Non Linear Prediction'!AK84</f>
        <v>1</v>
      </c>
      <c r="AK24">
        <f>'Non Linear Prediction'!AL84</f>
        <v>1</v>
      </c>
      <c r="AL24">
        <f>'Non Linear Prediction'!AM84</f>
        <v>1</v>
      </c>
      <c r="AM24">
        <f>'Non Linear Prediction'!AN84</f>
        <v>1</v>
      </c>
      <c r="AN24">
        <f>'Non Linear Prediction'!AO84</f>
        <v>1</v>
      </c>
      <c r="AO24">
        <f>'Non Linear Prediction'!AP84</f>
        <v>1</v>
      </c>
    </row>
    <row r="25" spans="1:41" ht="5.0999999999999996" customHeight="1">
      <c r="A25">
        <f>'Non Linear Prediction'!B85</f>
        <v>1</v>
      </c>
      <c r="B25">
        <f>'Non Linear Prediction'!C85</f>
        <v>1</v>
      </c>
      <c r="C25">
        <f>'Non Linear Prediction'!D85</f>
        <v>1</v>
      </c>
      <c r="D25">
        <f>'Non Linear Prediction'!E85</f>
        <v>1</v>
      </c>
      <c r="E25">
        <f>'Non Linear Prediction'!F85</f>
        <v>1</v>
      </c>
      <c r="F25">
        <f>'Non Linear Prediction'!G85</f>
        <v>1</v>
      </c>
      <c r="G25">
        <f>'Non Linear Prediction'!H85</f>
        <v>1</v>
      </c>
      <c r="H25">
        <f>'Non Linear Prediction'!I85</f>
        <v>1</v>
      </c>
      <c r="I25">
        <f>'Non Linear Prediction'!J85</f>
        <v>1</v>
      </c>
      <c r="J25">
        <f>'Non Linear Prediction'!K85</f>
        <v>1</v>
      </c>
      <c r="K25">
        <f>'Non Linear Prediction'!L85</f>
        <v>1</v>
      </c>
      <c r="L25">
        <f>'Non Linear Prediction'!M85</f>
        <v>1</v>
      </c>
      <c r="M25">
        <f>'Non Linear Prediction'!N85</f>
        <v>1</v>
      </c>
      <c r="N25">
        <f>'Non Linear Prediction'!O85</f>
        <v>1</v>
      </c>
      <c r="O25">
        <f>'Non Linear Prediction'!P85</f>
        <v>1</v>
      </c>
      <c r="P25">
        <f>'Non Linear Prediction'!Q85</f>
        <v>1</v>
      </c>
      <c r="Q25">
        <f>'Non Linear Prediction'!R85</f>
        <v>1</v>
      </c>
      <c r="R25">
        <f>'Non Linear Prediction'!S85</f>
        <v>1</v>
      </c>
      <c r="S25">
        <f>'Non Linear Prediction'!T85</f>
        <v>-1</v>
      </c>
      <c r="T25">
        <f>'Non Linear Prediction'!U85</f>
        <v>-1</v>
      </c>
      <c r="U25">
        <f>'Non Linear Prediction'!V85</f>
        <v>-1</v>
      </c>
      <c r="V25">
        <f>'Non Linear Prediction'!W85</f>
        <v>-1</v>
      </c>
      <c r="W25">
        <f>'Non Linear Prediction'!X85</f>
        <v>-1</v>
      </c>
      <c r="X25">
        <f>'Non Linear Prediction'!Y85</f>
        <v>-1</v>
      </c>
      <c r="Y25">
        <f>'Non Linear Prediction'!Z85</f>
        <v>-1</v>
      </c>
      <c r="Z25">
        <f>'Non Linear Prediction'!AA85</f>
        <v>-1</v>
      </c>
      <c r="AA25">
        <f>'Non Linear Prediction'!AB85</f>
        <v>-1</v>
      </c>
      <c r="AB25">
        <f>'Non Linear Prediction'!AC85</f>
        <v>-1</v>
      </c>
      <c r="AC25">
        <f>'Non Linear Prediction'!AD85</f>
        <v>-1</v>
      </c>
      <c r="AD25">
        <f>'Non Linear Prediction'!AE85</f>
        <v>-1</v>
      </c>
      <c r="AE25">
        <f>'Non Linear Prediction'!AF85</f>
        <v>-1</v>
      </c>
      <c r="AF25">
        <f>'Non Linear Prediction'!AG85</f>
        <v>-1</v>
      </c>
      <c r="AG25">
        <f>'Non Linear Prediction'!AH85</f>
        <v>-1</v>
      </c>
      <c r="AH25">
        <f>'Non Linear Prediction'!AI85</f>
        <v>1</v>
      </c>
      <c r="AI25">
        <f>'Non Linear Prediction'!AJ85</f>
        <v>1</v>
      </c>
      <c r="AJ25">
        <f>'Non Linear Prediction'!AK85</f>
        <v>1</v>
      </c>
      <c r="AK25">
        <f>'Non Linear Prediction'!AL85</f>
        <v>1</v>
      </c>
      <c r="AL25">
        <f>'Non Linear Prediction'!AM85</f>
        <v>1</v>
      </c>
      <c r="AM25">
        <f>'Non Linear Prediction'!AN85</f>
        <v>1</v>
      </c>
      <c r="AN25">
        <f>'Non Linear Prediction'!AO85</f>
        <v>1</v>
      </c>
      <c r="AO25">
        <f>'Non Linear Prediction'!AP85</f>
        <v>1</v>
      </c>
    </row>
    <row r="26" spans="1:41" ht="5.0999999999999996" customHeight="1">
      <c r="A26">
        <f>'Non Linear Prediction'!B86</f>
        <v>1</v>
      </c>
      <c r="B26">
        <f>'Non Linear Prediction'!C86</f>
        <v>1</v>
      </c>
      <c r="C26">
        <f>'Non Linear Prediction'!D86</f>
        <v>1</v>
      </c>
      <c r="D26">
        <f>'Non Linear Prediction'!E86</f>
        <v>1</v>
      </c>
      <c r="E26">
        <f>'Non Linear Prediction'!F86</f>
        <v>1</v>
      </c>
      <c r="F26">
        <f>'Non Linear Prediction'!G86</f>
        <v>1</v>
      </c>
      <c r="G26">
        <f>'Non Linear Prediction'!H86</f>
        <v>1</v>
      </c>
      <c r="H26">
        <f>'Non Linear Prediction'!I86</f>
        <v>1</v>
      </c>
      <c r="I26">
        <f>'Non Linear Prediction'!J86</f>
        <v>1</v>
      </c>
      <c r="J26">
        <f>'Non Linear Prediction'!K86</f>
        <v>1</v>
      </c>
      <c r="K26">
        <f>'Non Linear Prediction'!L86</f>
        <v>1</v>
      </c>
      <c r="L26">
        <f>'Non Linear Prediction'!M86</f>
        <v>1</v>
      </c>
      <c r="M26">
        <f>'Non Linear Prediction'!N86</f>
        <v>1</v>
      </c>
      <c r="N26">
        <f>'Non Linear Prediction'!O86</f>
        <v>1</v>
      </c>
      <c r="O26">
        <f>'Non Linear Prediction'!P86</f>
        <v>1</v>
      </c>
      <c r="P26">
        <f>'Non Linear Prediction'!Q86</f>
        <v>1</v>
      </c>
      <c r="Q26">
        <f>'Non Linear Prediction'!R86</f>
        <v>1</v>
      </c>
      <c r="R26">
        <f>'Non Linear Prediction'!S86</f>
        <v>1</v>
      </c>
      <c r="S26">
        <f>'Non Linear Prediction'!T86</f>
        <v>-1</v>
      </c>
      <c r="T26">
        <f>'Non Linear Prediction'!U86</f>
        <v>-1</v>
      </c>
      <c r="U26">
        <f>'Non Linear Prediction'!V86</f>
        <v>-1</v>
      </c>
      <c r="V26">
        <f>'Non Linear Prediction'!W86</f>
        <v>-1</v>
      </c>
      <c r="W26">
        <f>'Non Linear Prediction'!X86</f>
        <v>-1</v>
      </c>
      <c r="X26">
        <f>'Non Linear Prediction'!Y86</f>
        <v>-1</v>
      </c>
      <c r="Y26">
        <f>'Non Linear Prediction'!Z86</f>
        <v>-1</v>
      </c>
      <c r="Z26">
        <f>'Non Linear Prediction'!AA86</f>
        <v>-1</v>
      </c>
      <c r="AA26">
        <f>'Non Linear Prediction'!AB86</f>
        <v>-1</v>
      </c>
      <c r="AB26">
        <f>'Non Linear Prediction'!AC86</f>
        <v>-1</v>
      </c>
      <c r="AC26">
        <f>'Non Linear Prediction'!AD86</f>
        <v>-1</v>
      </c>
      <c r="AD26">
        <f>'Non Linear Prediction'!AE86</f>
        <v>-1</v>
      </c>
      <c r="AE26">
        <f>'Non Linear Prediction'!AF86</f>
        <v>-1</v>
      </c>
      <c r="AF26">
        <f>'Non Linear Prediction'!AG86</f>
        <v>-1</v>
      </c>
      <c r="AG26">
        <f>'Non Linear Prediction'!AH86</f>
        <v>1</v>
      </c>
      <c r="AH26">
        <f>'Non Linear Prediction'!AI86</f>
        <v>1</v>
      </c>
      <c r="AI26">
        <f>'Non Linear Prediction'!AJ86</f>
        <v>1</v>
      </c>
      <c r="AJ26">
        <f>'Non Linear Prediction'!AK86</f>
        <v>1</v>
      </c>
      <c r="AK26">
        <f>'Non Linear Prediction'!AL86</f>
        <v>1</v>
      </c>
      <c r="AL26">
        <f>'Non Linear Prediction'!AM86</f>
        <v>1</v>
      </c>
      <c r="AM26">
        <f>'Non Linear Prediction'!AN86</f>
        <v>1</v>
      </c>
      <c r="AN26">
        <f>'Non Linear Prediction'!AO86</f>
        <v>1</v>
      </c>
      <c r="AO26">
        <f>'Non Linear Prediction'!AP86</f>
        <v>1</v>
      </c>
    </row>
    <row r="27" spans="1:41" ht="5.0999999999999996" customHeight="1">
      <c r="A27">
        <f>'Non Linear Prediction'!B87</f>
        <v>1</v>
      </c>
      <c r="B27">
        <f>'Non Linear Prediction'!C87</f>
        <v>1</v>
      </c>
      <c r="C27">
        <f>'Non Linear Prediction'!D87</f>
        <v>1</v>
      </c>
      <c r="D27">
        <f>'Non Linear Prediction'!E87</f>
        <v>1</v>
      </c>
      <c r="E27">
        <f>'Non Linear Prediction'!F87</f>
        <v>1</v>
      </c>
      <c r="F27">
        <f>'Non Linear Prediction'!G87</f>
        <v>1</v>
      </c>
      <c r="G27">
        <f>'Non Linear Prediction'!H87</f>
        <v>1</v>
      </c>
      <c r="H27">
        <f>'Non Linear Prediction'!I87</f>
        <v>1</v>
      </c>
      <c r="I27">
        <f>'Non Linear Prediction'!J87</f>
        <v>1</v>
      </c>
      <c r="J27">
        <f>'Non Linear Prediction'!K87</f>
        <v>1</v>
      </c>
      <c r="K27">
        <f>'Non Linear Prediction'!L87</f>
        <v>1</v>
      </c>
      <c r="L27">
        <f>'Non Linear Prediction'!M87</f>
        <v>1</v>
      </c>
      <c r="M27">
        <f>'Non Linear Prediction'!N87</f>
        <v>1</v>
      </c>
      <c r="N27">
        <f>'Non Linear Prediction'!O87</f>
        <v>1</v>
      </c>
      <c r="O27">
        <f>'Non Linear Prediction'!P87</f>
        <v>1</v>
      </c>
      <c r="P27">
        <f>'Non Linear Prediction'!Q87</f>
        <v>1</v>
      </c>
      <c r="Q27">
        <f>'Non Linear Prediction'!R87</f>
        <v>1</v>
      </c>
      <c r="R27">
        <f>'Non Linear Prediction'!S87</f>
        <v>-1</v>
      </c>
      <c r="S27">
        <f>'Non Linear Prediction'!T87</f>
        <v>-1</v>
      </c>
      <c r="T27">
        <f>'Non Linear Prediction'!U87</f>
        <v>-1</v>
      </c>
      <c r="U27">
        <f>'Non Linear Prediction'!V87</f>
        <v>-1</v>
      </c>
      <c r="V27">
        <f>'Non Linear Prediction'!W87</f>
        <v>-1</v>
      </c>
      <c r="W27">
        <f>'Non Linear Prediction'!X87</f>
        <v>-1</v>
      </c>
      <c r="X27">
        <f>'Non Linear Prediction'!Y87</f>
        <v>-1</v>
      </c>
      <c r="Y27">
        <f>'Non Linear Prediction'!Z87</f>
        <v>-1</v>
      </c>
      <c r="Z27">
        <f>'Non Linear Prediction'!AA87</f>
        <v>-1</v>
      </c>
      <c r="AA27">
        <f>'Non Linear Prediction'!AB87</f>
        <v>-1</v>
      </c>
      <c r="AB27">
        <f>'Non Linear Prediction'!AC87</f>
        <v>-1</v>
      </c>
      <c r="AC27">
        <f>'Non Linear Prediction'!AD87</f>
        <v>-1</v>
      </c>
      <c r="AD27">
        <f>'Non Linear Prediction'!AE87</f>
        <v>-1</v>
      </c>
      <c r="AE27">
        <f>'Non Linear Prediction'!AF87</f>
        <v>-1</v>
      </c>
      <c r="AF27">
        <f>'Non Linear Prediction'!AG87</f>
        <v>1</v>
      </c>
      <c r="AG27">
        <f>'Non Linear Prediction'!AH87</f>
        <v>1</v>
      </c>
      <c r="AH27">
        <f>'Non Linear Prediction'!AI87</f>
        <v>1</v>
      </c>
      <c r="AI27">
        <f>'Non Linear Prediction'!AJ87</f>
        <v>1</v>
      </c>
      <c r="AJ27">
        <f>'Non Linear Prediction'!AK87</f>
        <v>1</v>
      </c>
      <c r="AK27">
        <f>'Non Linear Prediction'!AL87</f>
        <v>1</v>
      </c>
      <c r="AL27">
        <f>'Non Linear Prediction'!AM87</f>
        <v>1</v>
      </c>
      <c r="AM27">
        <f>'Non Linear Prediction'!AN87</f>
        <v>1</v>
      </c>
      <c r="AN27">
        <f>'Non Linear Prediction'!AO87</f>
        <v>1</v>
      </c>
      <c r="AO27">
        <f>'Non Linear Prediction'!AP87</f>
        <v>1</v>
      </c>
    </row>
    <row r="28" spans="1:41" ht="5.0999999999999996" customHeight="1">
      <c r="A28">
        <f>'Non Linear Prediction'!B88</f>
        <v>1</v>
      </c>
      <c r="B28">
        <f>'Non Linear Prediction'!C88</f>
        <v>1</v>
      </c>
      <c r="C28">
        <f>'Non Linear Prediction'!D88</f>
        <v>1</v>
      </c>
      <c r="D28">
        <f>'Non Linear Prediction'!E88</f>
        <v>1</v>
      </c>
      <c r="E28">
        <f>'Non Linear Prediction'!F88</f>
        <v>1</v>
      </c>
      <c r="F28">
        <f>'Non Linear Prediction'!G88</f>
        <v>1</v>
      </c>
      <c r="G28">
        <f>'Non Linear Prediction'!H88</f>
        <v>1</v>
      </c>
      <c r="H28">
        <f>'Non Linear Prediction'!I88</f>
        <v>1</v>
      </c>
      <c r="I28">
        <f>'Non Linear Prediction'!J88</f>
        <v>1</v>
      </c>
      <c r="J28">
        <f>'Non Linear Prediction'!K88</f>
        <v>1</v>
      </c>
      <c r="K28">
        <f>'Non Linear Prediction'!L88</f>
        <v>1</v>
      </c>
      <c r="L28">
        <f>'Non Linear Prediction'!M88</f>
        <v>1</v>
      </c>
      <c r="M28">
        <f>'Non Linear Prediction'!N88</f>
        <v>1</v>
      </c>
      <c r="N28">
        <f>'Non Linear Prediction'!O88</f>
        <v>1</v>
      </c>
      <c r="O28">
        <f>'Non Linear Prediction'!P88</f>
        <v>1</v>
      </c>
      <c r="P28">
        <f>'Non Linear Prediction'!Q88</f>
        <v>1</v>
      </c>
      <c r="Q28">
        <f>'Non Linear Prediction'!R88</f>
        <v>1</v>
      </c>
      <c r="R28">
        <f>'Non Linear Prediction'!S88</f>
        <v>-1</v>
      </c>
      <c r="S28">
        <f>'Non Linear Prediction'!T88</f>
        <v>-1</v>
      </c>
      <c r="T28">
        <f>'Non Linear Prediction'!U88</f>
        <v>-1</v>
      </c>
      <c r="U28">
        <f>'Non Linear Prediction'!V88</f>
        <v>-1</v>
      </c>
      <c r="V28">
        <f>'Non Linear Prediction'!W88</f>
        <v>-1</v>
      </c>
      <c r="W28">
        <f>'Non Linear Prediction'!X88</f>
        <v>-1</v>
      </c>
      <c r="X28">
        <f>'Non Linear Prediction'!Y88</f>
        <v>-1</v>
      </c>
      <c r="Y28">
        <f>'Non Linear Prediction'!Z88</f>
        <v>-1</v>
      </c>
      <c r="Z28">
        <f>'Non Linear Prediction'!AA88</f>
        <v>-1</v>
      </c>
      <c r="AA28">
        <f>'Non Linear Prediction'!AB88</f>
        <v>-1</v>
      </c>
      <c r="AB28">
        <f>'Non Linear Prediction'!AC88</f>
        <v>-1</v>
      </c>
      <c r="AC28">
        <f>'Non Linear Prediction'!AD88</f>
        <v>-1</v>
      </c>
      <c r="AD28">
        <f>'Non Linear Prediction'!AE88</f>
        <v>1</v>
      </c>
      <c r="AE28">
        <f>'Non Linear Prediction'!AF88</f>
        <v>1</v>
      </c>
      <c r="AF28">
        <f>'Non Linear Prediction'!AG88</f>
        <v>1</v>
      </c>
      <c r="AG28">
        <f>'Non Linear Prediction'!AH88</f>
        <v>1</v>
      </c>
      <c r="AH28">
        <f>'Non Linear Prediction'!AI88</f>
        <v>1</v>
      </c>
      <c r="AI28">
        <f>'Non Linear Prediction'!AJ88</f>
        <v>1</v>
      </c>
      <c r="AJ28">
        <f>'Non Linear Prediction'!AK88</f>
        <v>1</v>
      </c>
      <c r="AK28">
        <f>'Non Linear Prediction'!AL88</f>
        <v>1</v>
      </c>
      <c r="AL28">
        <f>'Non Linear Prediction'!AM88</f>
        <v>1</v>
      </c>
      <c r="AM28">
        <f>'Non Linear Prediction'!AN88</f>
        <v>1</v>
      </c>
      <c r="AN28">
        <f>'Non Linear Prediction'!AO88</f>
        <v>1</v>
      </c>
      <c r="AO28">
        <f>'Non Linear Prediction'!AP88</f>
        <v>1</v>
      </c>
    </row>
    <row r="29" spans="1:41" ht="5.0999999999999996" customHeight="1">
      <c r="A29">
        <f>'Non Linear Prediction'!B89</f>
        <v>1</v>
      </c>
      <c r="B29">
        <f>'Non Linear Prediction'!C89</f>
        <v>1</v>
      </c>
      <c r="C29">
        <f>'Non Linear Prediction'!D89</f>
        <v>1</v>
      </c>
      <c r="D29">
        <f>'Non Linear Prediction'!E89</f>
        <v>1</v>
      </c>
      <c r="E29">
        <f>'Non Linear Prediction'!F89</f>
        <v>1</v>
      </c>
      <c r="F29">
        <f>'Non Linear Prediction'!G89</f>
        <v>1</v>
      </c>
      <c r="G29">
        <f>'Non Linear Prediction'!H89</f>
        <v>1</v>
      </c>
      <c r="H29">
        <f>'Non Linear Prediction'!I89</f>
        <v>1</v>
      </c>
      <c r="I29">
        <f>'Non Linear Prediction'!J89</f>
        <v>1</v>
      </c>
      <c r="J29">
        <f>'Non Linear Prediction'!K89</f>
        <v>1</v>
      </c>
      <c r="K29">
        <f>'Non Linear Prediction'!L89</f>
        <v>1</v>
      </c>
      <c r="L29">
        <f>'Non Linear Prediction'!M89</f>
        <v>1</v>
      </c>
      <c r="M29">
        <f>'Non Linear Prediction'!N89</f>
        <v>1</v>
      </c>
      <c r="N29">
        <f>'Non Linear Prediction'!O89</f>
        <v>1</v>
      </c>
      <c r="O29">
        <f>'Non Linear Prediction'!P89</f>
        <v>1</v>
      </c>
      <c r="P29">
        <f>'Non Linear Prediction'!Q89</f>
        <v>1</v>
      </c>
      <c r="Q29">
        <f>'Non Linear Prediction'!R89</f>
        <v>-1</v>
      </c>
      <c r="R29">
        <f>'Non Linear Prediction'!S89</f>
        <v>-1</v>
      </c>
      <c r="S29">
        <f>'Non Linear Prediction'!T89</f>
        <v>-1</v>
      </c>
      <c r="T29">
        <f>'Non Linear Prediction'!U89</f>
        <v>-1</v>
      </c>
      <c r="U29">
        <f>'Non Linear Prediction'!V89</f>
        <v>-1</v>
      </c>
      <c r="V29">
        <f>'Non Linear Prediction'!W89</f>
        <v>-1</v>
      </c>
      <c r="W29">
        <f>'Non Linear Prediction'!X89</f>
        <v>-1</v>
      </c>
      <c r="X29">
        <f>'Non Linear Prediction'!Y89</f>
        <v>-1</v>
      </c>
      <c r="Y29">
        <f>'Non Linear Prediction'!Z89</f>
        <v>-1</v>
      </c>
      <c r="Z29">
        <f>'Non Linear Prediction'!AA89</f>
        <v>-1</v>
      </c>
      <c r="AA29">
        <f>'Non Linear Prediction'!AB89</f>
        <v>-1</v>
      </c>
      <c r="AB29">
        <f>'Non Linear Prediction'!AC89</f>
        <v>-1</v>
      </c>
      <c r="AC29">
        <f>'Non Linear Prediction'!AD89</f>
        <v>1</v>
      </c>
      <c r="AD29">
        <f>'Non Linear Prediction'!AE89</f>
        <v>1</v>
      </c>
      <c r="AE29">
        <f>'Non Linear Prediction'!AF89</f>
        <v>1</v>
      </c>
      <c r="AF29">
        <f>'Non Linear Prediction'!AG89</f>
        <v>1</v>
      </c>
      <c r="AG29">
        <f>'Non Linear Prediction'!AH89</f>
        <v>1</v>
      </c>
      <c r="AH29">
        <f>'Non Linear Prediction'!AI89</f>
        <v>1</v>
      </c>
      <c r="AI29">
        <f>'Non Linear Prediction'!AJ89</f>
        <v>1</v>
      </c>
      <c r="AJ29">
        <f>'Non Linear Prediction'!AK89</f>
        <v>1</v>
      </c>
      <c r="AK29">
        <f>'Non Linear Prediction'!AL89</f>
        <v>1</v>
      </c>
      <c r="AL29">
        <f>'Non Linear Prediction'!AM89</f>
        <v>1</v>
      </c>
      <c r="AM29">
        <f>'Non Linear Prediction'!AN89</f>
        <v>1</v>
      </c>
      <c r="AN29">
        <f>'Non Linear Prediction'!AO89</f>
        <v>1</v>
      </c>
      <c r="AO29">
        <f>'Non Linear Prediction'!AP89</f>
        <v>1</v>
      </c>
    </row>
    <row r="30" spans="1:41" ht="5.0999999999999996" customHeight="1">
      <c r="A30">
        <f>'Non Linear Prediction'!B90</f>
        <v>1</v>
      </c>
      <c r="B30">
        <f>'Non Linear Prediction'!C90</f>
        <v>1</v>
      </c>
      <c r="C30">
        <f>'Non Linear Prediction'!D90</f>
        <v>1</v>
      </c>
      <c r="D30">
        <f>'Non Linear Prediction'!E90</f>
        <v>1</v>
      </c>
      <c r="E30">
        <f>'Non Linear Prediction'!F90</f>
        <v>1</v>
      </c>
      <c r="F30">
        <f>'Non Linear Prediction'!G90</f>
        <v>1</v>
      </c>
      <c r="G30">
        <f>'Non Linear Prediction'!H90</f>
        <v>1</v>
      </c>
      <c r="H30">
        <f>'Non Linear Prediction'!I90</f>
        <v>1</v>
      </c>
      <c r="I30">
        <f>'Non Linear Prediction'!J90</f>
        <v>1</v>
      </c>
      <c r="J30">
        <f>'Non Linear Prediction'!K90</f>
        <v>1</v>
      </c>
      <c r="K30">
        <f>'Non Linear Prediction'!L90</f>
        <v>1</v>
      </c>
      <c r="L30">
        <f>'Non Linear Prediction'!M90</f>
        <v>1</v>
      </c>
      <c r="M30">
        <f>'Non Linear Prediction'!N90</f>
        <v>1</v>
      </c>
      <c r="N30">
        <f>'Non Linear Prediction'!O90</f>
        <v>1</v>
      </c>
      <c r="O30">
        <f>'Non Linear Prediction'!P90</f>
        <v>1</v>
      </c>
      <c r="P30">
        <f>'Non Linear Prediction'!Q90</f>
        <v>1</v>
      </c>
      <c r="Q30">
        <f>'Non Linear Prediction'!R90</f>
        <v>-1</v>
      </c>
      <c r="R30">
        <f>'Non Linear Prediction'!S90</f>
        <v>-1</v>
      </c>
      <c r="S30">
        <f>'Non Linear Prediction'!T90</f>
        <v>-1</v>
      </c>
      <c r="T30">
        <f>'Non Linear Prediction'!U90</f>
        <v>-1</v>
      </c>
      <c r="U30">
        <f>'Non Linear Prediction'!V90</f>
        <v>-1</v>
      </c>
      <c r="V30">
        <f>'Non Linear Prediction'!W90</f>
        <v>-1</v>
      </c>
      <c r="W30">
        <f>'Non Linear Prediction'!X90</f>
        <v>-1</v>
      </c>
      <c r="X30">
        <f>'Non Linear Prediction'!Y90</f>
        <v>-1</v>
      </c>
      <c r="Y30">
        <f>'Non Linear Prediction'!Z90</f>
        <v>-1</v>
      </c>
      <c r="Z30">
        <f>'Non Linear Prediction'!AA90</f>
        <v>-1</v>
      </c>
      <c r="AA30">
        <f>'Non Linear Prediction'!AB90</f>
        <v>-1</v>
      </c>
      <c r="AB30">
        <f>'Non Linear Prediction'!AC90</f>
        <v>1</v>
      </c>
      <c r="AC30">
        <f>'Non Linear Prediction'!AD90</f>
        <v>1</v>
      </c>
      <c r="AD30">
        <f>'Non Linear Prediction'!AE90</f>
        <v>1</v>
      </c>
      <c r="AE30">
        <f>'Non Linear Prediction'!AF90</f>
        <v>1</v>
      </c>
      <c r="AF30">
        <f>'Non Linear Prediction'!AG90</f>
        <v>1</v>
      </c>
      <c r="AG30">
        <f>'Non Linear Prediction'!AH90</f>
        <v>1</v>
      </c>
      <c r="AH30">
        <f>'Non Linear Prediction'!AI90</f>
        <v>1</v>
      </c>
      <c r="AI30">
        <f>'Non Linear Prediction'!AJ90</f>
        <v>1</v>
      </c>
      <c r="AJ30">
        <f>'Non Linear Prediction'!AK90</f>
        <v>1</v>
      </c>
      <c r="AK30">
        <f>'Non Linear Prediction'!AL90</f>
        <v>1</v>
      </c>
      <c r="AL30">
        <f>'Non Linear Prediction'!AM90</f>
        <v>1</v>
      </c>
      <c r="AM30">
        <f>'Non Linear Prediction'!AN90</f>
        <v>1</v>
      </c>
      <c r="AN30">
        <f>'Non Linear Prediction'!AO90</f>
        <v>1</v>
      </c>
      <c r="AO30">
        <f>'Non Linear Prediction'!AP90</f>
        <v>1</v>
      </c>
    </row>
    <row r="31" spans="1:41" ht="5.0999999999999996" customHeight="1">
      <c r="A31">
        <f>'Non Linear Prediction'!B91</f>
        <v>1</v>
      </c>
      <c r="B31">
        <f>'Non Linear Prediction'!C91</f>
        <v>1</v>
      </c>
      <c r="C31">
        <f>'Non Linear Prediction'!D91</f>
        <v>1</v>
      </c>
      <c r="D31">
        <f>'Non Linear Prediction'!E91</f>
        <v>1</v>
      </c>
      <c r="E31">
        <f>'Non Linear Prediction'!F91</f>
        <v>1</v>
      </c>
      <c r="F31">
        <f>'Non Linear Prediction'!G91</f>
        <v>1</v>
      </c>
      <c r="G31">
        <f>'Non Linear Prediction'!H91</f>
        <v>1</v>
      </c>
      <c r="H31">
        <f>'Non Linear Prediction'!I91</f>
        <v>1</v>
      </c>
      <c r="I31">
        <f>'Non Linear Prediction'!J91</f>
        <v>1</v>
      </c>
      <c r="J31">
        <f>'Non Linear Prediction'!K91</f>
        <v>1</v>
      </c>
      <c r="K31">
        <f>'Non Linear Prediction'!L91</f>
        <v>1</v>
      </c>
      <c r="L31">
        <f>'Non Linear Prediction'!M91</f>
        <v>1</v>
      </c>
      <c r="M31">
        <f>'Non Linear Prediction'!N91</f>
        <v>1</v>
      </c>
      <c r="N31">
        <f>'Non Linear Prediction'!O91</f>
        <v>1</v>
      </c>
      <c r="O31">
        <f>'Non Linear Prediction'!P91</f>
        <v>1</v>
      </c>
      <c r="P31">
        <f>'Non Linear Prediction'!Q91</f>
        <v>-1</v>
      </c>
      <c r="Q31">
        <f>'Non Linear Prediction'!R91</f>
        <v>-1</v>
      </c>
      <c r="R31">
        <f>'Non Linear Prediction'!S91</f>
        <v>-1</v>
      </c>
      <c r="S31">
        <f>'Non Linear Prediction'!T91</f>
        <v>-1</v>
      </c>
      <c r="T31">
        <f>'Non Linear Prediction'!U91</f>
        <v>-1</v>
      </c>
      <c r="U31">
        <f>'Non Linear Prediction'!V91</f>
        <v>-1</v>
      </c>
      <c r="V31">
        <f>'Non Linear Prediction'!W91</f>
        <v>-1</v>
      </c>
      <c r="W31">
        <f>'Non Linear Prediction'!X91</f>
        <v>-1</v>
      </c>
      <c r="X31">
        <f>'Non Linear Prediction'!Y91</f>
        <v>-1</v>
      </c>
      <c r="Y31">
        <f>'Non Linear Prediction'!Z91</f>
        <v>-1</v>
      </c>
      <c r="Z31">
        <f>'Non Linear Prediction'!AA91</f>
        <v>-1</v>
      </c>
      <c r="AA31">
        <f>'Non Linear Prediction'!AB91</f>
        <v>1</v>
      </c>
      <c r="AB31">
        <f>'Non Linear Prediction'!AC91</f>
        <v>1</v>
      </c>
      <c r="AC31">
        <f>'Non Linear Prediction'!AD91</f>
        <v>1</v>
      </c>
      <c r="AD31">
        <f>'Non Linear Prediction'!AE91</f>
        <v>1</v>
      </c>
      <c r="AE31">
        <f>'Non Linear Prediction'!AF91</f>
        <v>1</v>
      </c>
      <c r="AF31">
        <f>'Non Linear Prediction'!AG91</f>
        <v>1</v>
      </c>
      <c r="AG31">
        <f>'Non Linear Prediction'!AH91</f>
        <v>1</v>
      </c>
      <c r="AH31">
        <f>'Non Linear Prediction'!AI91</f>
        <v>1</v>
      </c>
      <c r="AI31">
        <f>'Non Linear Prediction'!AJ91</f>
        <v>1</v>
      </c>
      <c r="AJ31">
        <f>'Non Linear Prediction'!AK91</f>
        <v>1</v>
      </c>
      <c r="AK31">
        <f>'Non Linear Prediction'!AL91</f>
        <v>1</v>
      </c>
      <c r="AL31">
        <f>'Non Linear Prediction'!AM91</f>
        <v>1</v>
      </c>
      <c r="AM31">
        <f>'Non Linear Prediction'!AN91</f>
        <v>1</v>
      </c>
      <c r="AN31">
        <f>'Non Linear Prediction'!AO91</f>
        <v>1</v>
      </c>
      <c r="AO31">
        <f>'Non Linear Prediction'!AP91</f>
        <v>1</v>
      </c>
    </row>
    <row r="32" spans="1:41" ht="5.0999999999999996" customHeight="1">
      <c r="A32">
        <f>'Non Linear Prediction'!B92</f>
        <v>1</v>
      </c>
      <c r="B32">
        <f>'Non Linear Prediction'!C92</f>
        <v>1</v>
      </c>
      <c r="C32">
        <f>'Non Linear Prediction'!D92</f>
        <v>1</v>
      </c>
      <c r="D32">
        <f>'Non Linear Prediction'!E92</f>
        <v>1</v>
      </c>
      <c r="E32">
        <f>'Non Linear Prediction'!F92</f>
        <v>1</v>
      </c>
      <c r="F32">
        <f>'Non Linear Prediction'!G92</f>
        <v>1</v>
      </c>
      <c r="G32">
        <f>'Non Linear Prediction'!H92</f>
        <v>1</v>
      </c>
      <c r="H32">
        <f>'Non Linear Prediction'!I92</f>
        <v>1</v>
      </c>
      <c r="I32">
        <f>'Non Linear Prediction'!J92</f>
        <v>1</v>
      </c>
      <c r="J32">
        <f>'Non Linear Prediction'!K92</f>
        <v>1</v>
      </c>
      <c r="K32">
        <f>'Non Linear Prediction'!L92</f>
        <v>1</v>
      </c>
      <c r="L32">
        <f>'Non Linear Prediction'!M92</f>
        <v>1</v>
      </c>
      <c r="M32">
        <f>'Non Linear Prediction'!N92</f>
        <v>1</v>
      </c>
      <c r="N32">
        <f>'Non Linear Prediction'!O92</f>
        <v>1</v>
      </c>
      <c r="O32">
        <f>'Non Linear Prediction'!P92</f>
        <v>-1</v>
      </c>
      <c r="P32">
        <f>'Non Linear Prediction'!Q92</f>
        <v>-1</v>
      </c>
      <c r="Q32">
        <f>'Non Linear Prediction'!R92</f>
        <v>-1</v>
      </c>
      <c r="R32">
        <f>'Non Linear Prediction'!S92</f>
        <v>-1</v>
      </c>
      <c r="S32">
        <f>'Non Linear Prediction'!T92</f>
        <v>-1</v>
      </c>
      <c r="T32">
        <f>'Non Linear Prediction'!U92</f>
        <v>-1</v>
      </c>
      <c r="U32">
        <f>'Non Linear Prediction'!V92</f>
        <v>-1</v>
      </c>
      <c r="V32">
        <f>'Non Linear Prediction'!W92</f>
        <v>-1</v>
      </c>
      <c r="W32">
        <f>'Non Linear Prediction'!X92</f>
        <v>-1</v>
      </c>
      <c r="X32">
        <f>'Non Linear Prediction'!Y92</f>
        <v>-1</v>
      </c>
      <c r="Y32">
        <f>'Non Linear Prediction'!Z92</f>
        <v>-1</v>
      </c>
      <c r="Z32">
        <f>'Non Linear Prediction'!AA92</f>
        <v>1</v>
      </c>
      <c r="AA32">
        <f>'Non Linear Prediction'!AB92</f>
        <v>1</v>
      </c>
      <c r="AB32">
        <f>'Non Linear Prediction'!AC92</f>
        <v>1</v>
      </c>
      <c r="AC32">
        <f>'Non Linear Prediction'!AD92</f>
        <v>1</v>
      </c>
      <c r="AD32">
        <f>'Non Linear Prediction'!AE92</f>
        <v>1</v>
      </c>
      <c r="AE32">
        <f>'Non Linear Prediction'!AF92</f>
        <v>1</v>
      </c>
      <c r="AF32">
        <f>'Non Linear Prediction'!AG92</f>
        <v>1</v>
      </c>
      <c r="AG32">
        <f>'Non Linear Prediction'!AH92</f>
        <v>1</v>
      </c>
      <c r="AH32">
        <f>'Non Linear Prediction'!AI92</f>
        <v>1</v>
      </c>
      <c r="AI32">
        <f>'Non Linear Prediction'!AJ92</f>
        <v>1</v>
      </c>
      <c r="AJ32">
        <f>'Non Linear Prediction'!AK92</f>
        <v>1</v>
      </c>
      <c r="AK32">
        <f>'Non Linear Prediction'!AL92</f>
        <v>1</v>
      </c>
      <c r="AL32">
        <f>'Non Linear Prediction'!AM92</f>
        <v>1</v>
      </c>
      <c r="AM32">
        <f>'Non Linear Prediction'!AN92</f>
        <v>1</v>
      </c>
      <c r="AN32">
        <f>'Non Linear Prediction'!AO92</f>
        <v>1</v>
      </c>
      <c r="AO32">
        <f>'Non Linear Prediction'!AP92</f>
        <v>1</v>
      </c>
    </row>
    <row r="33" spans="1:41" ht="5.0999999999999996" customHeight="1">
      <c r="A33">
        <f>'Non Linear Prediction'!B93</f>
        <v>1</v>
      </c>
      <c r="B33">
        <f>'Non Linear Prediction'!C93</f>
        <v>1</v>
      </c>
      <c r="C33">
        <f>'Non Linear Prediction'!D93</f>
        <v>1</v>
      </c>
      <c r="D33">
        <f>'Non Linear Prediction'!E93</f>
        <v>1</v>
      </c>
      <c r="E33">
        <f>'Non Linear Prediction'!F93</f>
        <v>1</v>
      </c>
      <c r="F33">
        <f>'Non Linear Prediction'!G93</f>
        <v>1</v>
      </c>
      <c r="G33">
        <f>'Non Linear Prediction'!H93</f>
        <v>1</v>
      </c>
      <c r="H33">
        <f>'Non Linear Prediction'!I93</f>
        <v>1</v>
      </c>
      <c r="I33">
        <f>'Non Linear Prediction'!J93</f>
        <v>1</v>
      </c>
      <c r="J33">
        <f>'Non Linear Prediction'!K93</f>
        <v>1</v>
      </c>
      <c r="K33">
        <f>'Non Linear Prediction'!L93</f>
        <v>1</v>
      </c>
      <c r="L33">
        <f>'Non Linear Prediction'!M93</f>
        <v>1</v>
      </c>
      <c r="M33">
        <f>'Non Linear Prediction'!N93</f>
        <v>1</v>
      </c>
      <c r="N33">
        <f>'Non Linear Prediction'!O93</f>
        <v>-1</v>
      </c>
      <c r="O33">
        <f>'Non Linear Prediction'!P93</f>
        <v>-1</v>
      </c>
      <c r="P33">
        <f>'Non Linear Prediction'!Q93</f>
        <v>-1</v>
      </c>
      <c r="Q33">
        <f>'Non Linear Prediction'!R93</f>
        <v>-1</v>
      </c>
      <c r="R33">
        <f>'Non Linear Prediction'!S93</f>
        <v>-1</v>
      </c>
      <c r="S33">
        <f>'Non Linear Prediction'!T93</f>
        <v>-1</v>
      </c>
      <c r="T33">
        <f>'Non Linear Prediction'!U93</f>
        <v>-1</v>
      </c>
      <c r="U33">
        <f>'Non Linear Prediction'!V93</f>
        <v>-1</v>
      </c>
      <c r="V33">
        <f>'Non Linear Prediction'!W93</f>
        <v>-1</v>
      </c>
      <c r="W33">
        <f>'Non Linear Prediction'!X93</f>
        <v>-1</v>
      </c>
      <c r="X33">
        <f>'Non Linear Prediction'!Y93</f>
        <v>-1</v>
      </c>
      <c r="Y33">
        <f>'Non Linear Prediction'!Z93</f>
        <v>-1</v>
      </c>
      <c r="Z33">
        <f>'Non Linear Prediction'!AA93</f>
        <v>1</v>
      </c>
      <c r="AA33">
        <f>'Non Linear Prediction'!AB93</f>
        <v>1</v>
      </c>
      <c r="AB33">
        <f>'Non Linear Prediction'!AC93</f>
        <v>1</v>
      </c>
      <c r="AC33">
        <f>'Non Linear Prediction'!AD93</f>
        <v>1</v>
      </c>
      <c r="AD33">
        <f>'Non Linear Prediction'!AE93</f>
        <v>1</v>
      </c>
      <c r="AE33">
        <f>'Non Linear Prediction'!AF93</f>
        <v>1</v>
      </c>
      <c r="AF33">
        <f>'Non Linear Prediction'!AG93</f>
        <v>1</v>
      </c>
      <c r="AG33">
        <f>'Non Linear Prediction'!AH93</f>
        <v>1</v>
      </c>
      <c r="AH33">
        <f>'Non Linear Prediction'!AI93</f>
        <v>1</v>
      </c>
      <c r="AI33">
        <f>'Non Linear Prediction'!AJ93</f>
        <v>1</v>
      </c>
      <c r="AJ33">
        <f>'Non Linear Prediction'!AK93</f>
        <v>1</v>
      </c>
      <c r="AK33">
        <f>'Non Linear Prediction'!AL93</f>
        <v>1</v>
      </c>
      <c r="AL33">
        <f>'Non Linear Prediction'!AM93</f>
        <v>1</v>
      </c>
      <c r="AM33">
        <f>'Non Linear Prediction'!AN93</f>
        <v>1</v>
      </c>
      <c r="AN33">
        <f>'Non Linear Prediction'!AO93</f>
        <v>1</v>
      </c>
      <c r="AO33">
        <f>'Non Linear Prediction'!AP93</f>
        <v>1</v>
      </c>
    </row>
    <row r="34" spans="1:41" ht="5.0999999999999996" customHeight="1">
      <c r="A34">
        <f>'Non Linear Prediction'!B94</f>
        <v>1</v>
      </c>
      <c r="B34">
        <f>'Non Linear Prediction'!C94</f>
        <v>1</v>
      </c>
      <c r="C34">
        <f>'Non Linear Prediction'!D94</f>
        <v>1</v>
      </c>
      <c r="D34">
        <f>'Non Linear Prediction'!E94</f>
        <v>1</v>
      </c>
      <c r="E34">
        <f>'Non Linear Prediction'!F94</f>
        <v>1</v>
      </c>
      <c r="F34">
        <f>'Non Linear Prediction'!G94</f>
        <v>1</v>
      </c>
      <c r="G34">
        <f>'Non Linear Prediction'!H94</f>
        <v>1</v>
      </c>
      <c r="H34">
        <f>'Non Linear Prediction'!I94</f>
        <v>1</v>
      </c>
      <c r="I34">
        <f>'Non Linear Prediction'!J94</f>
        <v>1</v>
      </c>
      <c r="J34">
        <f>'Non Linear Prediction'!K94</f>
        <v>1</v>
      </c>
      <c r="K34">
        <f>'Non Linear Prediction'!L94</f>
        <v>1</v>
      </c>
      <c r="L34">
        <f>'Non Linear Prediction'!M94</f>
        <v>1</v>
      </c>
      <c r="M34">
        <f>'Non Linear Prediction'!N94</f>
        <v>-1</v>
      </c>
      <c r="N34">
        <f>'Non Linear Prediction'!O94</f>
        <v>-1</v>
      </c>
      <c r="O34">
        <f>'Non Linear Prediction'!P94</f>
        <v>-1</v>
      </c>
      <c r="P34">
        <f>'Non Linear Prediction'!Q94</f>
        <v>-1</v>
      </c>
      <c r="Q34">
        <f>'Non Linear Prediction'!R94</f>
        <v>-1</v>
      </c>
      <c r="R34">
        <f>'Non Linear Prediction'!S94</f>
        <v>-1</v>
      </c>
      <c r="S34">
        <f>'Non Linear Prediction'!T94</f>
        <v>-1</v>
      </c>
      <c r="T34">
        <f>'Non Linear Prediction'!U94</f>
        <v>-1</v>
      </c>
      <c r="U34">
        <f>'Non Linear Prediction'!V94</f>
        <v>-1</v>
      </c>
      <c r="V34">
        <f>'Non Linear Prediction'!W94</f>
        <v>-1</v>
      </c>
      <c r="W34">
        <f>'Non Linear Prediction'!X94</f>
        <v>-1</v>
      </c>
      <c r="X34">
        <f>'Non Linear Prediction'!Y94</f>
        <v>-1</v>
      </c>
      <c r="Y34">
        <f>'Non Linear Prediction'!Z94</f>
        <v>1</v>
      </c>
      <c r="Z34">
        <f>'Non Linear Prediction'!AA94</f>
        <v>1</v>
      </c>
      <c r="AA34">
        <f>'Non Linear Prediction'!AB94</f>
        <v>1</v>
      </c>
      <c r="AB34">
        <f>'Non Linear Prediction'!AC94</f>
        <v>1</v>
      </c>
      <c r="AC34">
        <f>'Non Linear Prediction'!AD94</f>
        <v>1</v>
      </c>
      <c r="AD34">
        <f>'Non Linear Prediction'!AE94</f>
        <v>1</v>
      </c>
      <c r="AE34">
        <f>'Non Linear Prediction'!AF94</f>
        <v>1</v>
      </c>
      <c r="AF34">
        <f>'Non Linear Prediction'!AG94</f>
        <v>1</v>
      </c>
      <c r="AG34">
        <f>'Non Linear Prediction'!AH94</f>
        <v>1</v>
      </c>
      <c r="AH34">
        <f>'Non Linear Prediction'!AI94</f>
        <v>1</v>
      </c>
      <c r="AI34">
        <f>'Non Linear Prediction'!AJ94</f>
        <v>1</v>
      </c>
      <c r="AJ34">
        <f>'Non Linear Prediction'!AK94</f>
        <v>1</v>
      </c>
      <c r="AK34">
        <f>'Non Linear Prediction'!AL94</f>
        <v>1</v>
      </c>
      <c r="AL34">
        <f>'Non Linear Prediction'!AM94</f>
        <v>1</v>
      </c>
      <c r="AM34">
        <f>'Non Linear Prediction'!AN94</f>
        <v>1</v>
      </c>
      <c r="AN34">
        <f>'Non Linear Prediction'!AO94</f>
        <v>1</v>
      </c>
      <c r="AO34">
        <f>'Non Linear Prediction'!AP94</f>
        <v>1</v>
      </c>
    </row>
    <row r="35" spans="1:41" ht="5.0999999999999996" customHeight="1">
      <c r="A35">
        <f>'Non Linear Prediction'!B95</f>
        <v>1</v>
      </c>
      <c r="B35">
        <f>'Non Linear Prediction'!C95</f>
        <v>1</v>
      </c>
      <c r="C35">
        <f>'Non Linear Prediction'!D95</f>
        <v>1</v>
      </c>
      <c r="D35">
        <f>'Non Linear Prediction'!E95</f>
        <v>1</v>
      </c>
      <c r="E35">
        <f>'Non Linear Prediction'!F95</f>
        <v>1</v>
      </c>
      <c r="F35">
        <f>'Non Linear Prediction'!G95</f>
        <v>1</v>
      </c>
      <c r="G35">
        <f>'Non Linear Prediction'!H95</f>
        <v>1</v>
      </c>
      <c r="H35">
        <f>'Non Linear Prediction'!I95</f>
        <v>1</v>
      </c>
      <c r="I35">
        <f>'Non Linear Prediction'!J95</f>
        <v>1</v>
      </c>
      <c r="J35">
        <f>'Non Linear Prediction'!K95</f>
        <v>1</v>
      </c>
      <c r="K35">
        <f>'Non Linear Prediction'!L95</f>
        <v>1</v>
      </c>
      <c r="L35">
        <f>'Non Linear Prediction'!M95</f>
        <v>-1</v>
      </c>
      <c r="M35">
        <f>'Non Linear Prediction'!N95</f>
        <v>-1</v>
      </c>
      <c r="N35">
        <f>'Non Linear Prediction'!O95</f>
        <v>-1</v>
      </c>
      <c r="O35">
        <f>'Non Linear Prediction'!P95</f>
        <v>-1</v>
      </c>
      <c r="P35">
        <f>'Non Linear Prediction'!Q95</f>
        <v>-1</v>
      </c>
      <c r="Q35">
        <f>'Non Linear Prediction'!R95</f>
        <v>-1</v>
      </c>
      <c r="R35">
        <f>'Non Linear Prediction'!S95</f>
        <v>-1</v>
      </c>
      <c r="S35">
        <f>'Non Linear Prediction'!T95</f>
        <v>-1</v>
      </c>
      <c r="T35">
        <f>'Non Linear Prediction'!U95</f>
        <v>-1</v>
      </c>
      <c r="U35">
        <f>'Non Linear Prediction'!V95</f>
        <v>-1</v>
      </c>
      <c r="V35">
        <f>'Non Linear Prediction'!W95</f>
        <v>-1</v>
      </c>
      <c r="W35">
        <f>'Non Linear Prediction'!X95</f>
        <v>-1</v>
      </c>
      <c r="X35">
        <f>'Non Linear Prediction'!Y95</f>
        <v>-1</v>
      </c>
      <c r="Y35">
        <f>'Non Linear Prediction'!Z95</f>
        <v>1</v>
      </c>
      <c r="Z35">
        <f>'Non Linear Prediction'!AA95</f>
        <v>1</v>
      </c>
      <c r="AA35">
        <f>'Non Linear Prediction'!AB95</f>
        <v>1</v>
      </c>
      <c r="AB35">
        <f>'Non Linear Prediction'!AC95</f>
        <v>1</v>
      </c>
      <c r="AC35">
        <f>'Non Linear Prediction'!AD95</f>
        <v>1</v>
      </c>
      <c r="AD35">
        <f>'Non Linear Prediction'!AE95</f>
        <v>1</v>
      </c>
      <c r="AE35">
        <f>'Non Linear Prediction'!AF95</f>
        <v>1</v>
      </c>
      <c r="AF35">
        <f>'Non Linear Prediction'!AG95</f>
        <v>1</v>
      </c>
      <c r="AG35">
        <f>'Non Linear Prediction'!AH95</f>
        <v>1</v>
      </c>
      <c r="AH35">
        <f>'Non Linear Prediction'!AI95</f>
        <v>1</v>
      </c>
      <c r="AI35">
        <f>'Non Linear Prediction'!AJ95</f>
        <v>1</v>
      </c>
      <c r="AJ35">
        <f>'Non Linear Prediction'!AK95</f>
        <v>1</v>
      </c>
      <c r="AK35">
        <f>'Non Linear Prediction'!AL95</f>
        <v>1</v>
      </c>
      <c r="AL35">
        <f>'Non Linear Prediction'!AM95</f>
        <v>1</v>
      </c>
      <c r="AM35">
        <f>'Non Linear Prediction'!AN95</f>
        <v>1</v>
      </c>
      <c r="AN35">
        <f>'Non Linear Prediction'!AO95</f>
        <v>1</v>
      </c>
      <c r="AO35">
        <f>'Non Linear Prediction'!AP95</f>
        <v>1</v>
      </c>
    </row>
    <row r="36" spans="1:41" ht="5.0999999999999996" customHeight="1">
      <c r="A36">
        <f>'Non Linear Prediction'!B96</f>
        <v>1</v>
      </c>
      <c r="B36">
        <f>'Non Linear Prediction'!C96</f>
        <v>1</v>
      </c>
      <c r="C36">
        <f>'Non Linear Prediction'!D96</f>
        <v>1</v>
      </c>
      <c r="D36">
        <f>'Non Linear Prediction'!E96</f>
        <v>1</v>
      </c>
      <c r="E36">
        <f>'Non Linear Prediction'!F96</f>
        <v>1</v>
      </c>
      <c r="F36">
        <f>'Non Linear Prediction'!G96</f>
        <v>1</v>
      </c>
      <c r="G36">
        <f>'Non Linear Prediction'!H96</f>
        <v>1</v>
      </c>
      <c r="H36">
        <f>'Non Linear Prediction'!I96</f>
        <v>1</v>
      </c>
      <c r="I36">
        <f>'Non Linear Prediction'!J96</f>
        <v>1</v>
      </c>
      <c r="J36">
        <f>'Non Linear Prediction'!K96</f>
        <v>1</v>
      </c>
      <c r="K36">
        <f>'Non Linear Prediction'!L96</f>
        <v>-1</v>
      </c>
      <c r="L36">
        <f>'Non Linear Prediction'!M96</f>
        <v>-1</v>
      </c>
      <c r="M36">
        <f>'Non Linear Prediction'!N96</f>
        <v>-1</v>
      </c>
      <c r="N36">
        <f>'Non Linear Prediction'!O96</f>
        <v>-1</v>
      </c>
      <c r="O36">
        <f>'Non Linear Prediction'!P96</f>
        <v>-1</v>
      </c>
      <c r="P36">
        <f>'Non Linear Prediction'!Q96</f>
        <v>-1</v>
      </c>
      <c r="Q36">
        <f>'Non Linear Prediction'!R96</f>
        <v>-1</v>
      </c>
      <c r="R36">
        <f>'Non Linear Prediction'!S96</f>
        <v>-1</v>
      </c>
      <c r="S36">
        <f>'Non Linear Prediction'!T96</f>
        <v>-1</v>
      </c>
      <c r="T36">
        <f>'Non Linear Prediction'!U96</f>
        <v>-1</v>
      </c>
      <c r="U36">
        <f>'Non Linear Prediction'!V96</f>
        <v>-1</v>
      </c>
      <c r="V36">
        <f>'Non Linear Prediction'!W96</f>
        <v>-1</v>
      </c>
      <c r="W36">
        <f>'Non Linear Prediction'!X96</f>
        <v>-1</v>
      </c>
      <c r="X36">
        <f>'Non Linear Prediction'!Y96</f>
        <v>-1</v>
      </c>
      <c r="Y36">
        <f>'Non Linear Prediction'!Z96</f>
        <v>1</v>
      </c>
      <c r="Z36">
        <f>'Non Linear Prediction'!AA96</f>
        <v>1</v>
      </c>
      <c r="AA36">
        <f>'Non Linear Prediction'!AB96</f>
        <v>1</v>
      </c>
      <c r="AB36">
        <f>'Non Linear Prediction'!AC96</f>
        <v>1</v>
      </c>
      <c r="AC36">
        <f>'Non Linear Prediction'!AD96</f>
        <v>1</v>
      </c>
      <c r="AD36">
        <f>'Non Linear Prediction'!AE96</f>
        <v>1</v>
      </c>
      <c r="AE36">
        <f>'Non Linear Prediction'!AF96</f>
        <v>1</v>
      </c>
      <c r="AF36">
        <f>'Non Linear Prediction'!AG96</f>
        <v>1</v>
      </c>
      <c r="AG36">
        <f>'Non Linear Prediction'!AH96</f>
        <v>1</v>
      </c>
      <c r="AH36">
        <f>'Non Linear Prediction'!AI96</f>
        <v>1</v>
      </c>
      <c r="AI36">
        <f>'Non Linear Prediction'!AJ96</f>
        <v>1</v>
      </c>
      <c r="AJ36">
        <f>'Non Linear Prediction'!AK96</f>
        <v>1</v>
      </c>
      <c r="AK36">
        <f>'Non Linear Prediction'!AL96</f>
        <v>1</v>
      </c>
      <c r="AL36">
        <f>'Non Linear Prediction'!AM96</f>
        <v>1</v>
      </c>
      <c r="AM36">
        <f>'Non Linear Prediction'!AN96</f>
        <v>1</v>
      </c>
      <c r="AN36">
        <f>'Non Linear Prediction'!AO96</f>
        <v>1</v>
      </c>
      <c r="AO36">
        <f>'Non Linear Prediction'!AP96</f>
        <v>1</v>
      </c>
    </row>
    <row r="37" spans="1:41" ht="5.0999999999999996" customHeight="1">
      <c r="A37">
        <f>'Non Linear Prediction'!B97</f>
        <v>1</v>
      </c>
      <c r="B37">
        <f>'Non Linear Prediction'!C97</f>
        <v>1</v>
      </c>
      <c r="C37">
        <f>'Non Linear Prediction'!D97</f>
        <v>1</v>
      </c>
      <c r="D37">
        <f>'Non Linear Prediction'!E97</f>
        <v>1</v>
      </c>
      <c r="E37">
        <f>'Non Linear Prediction'!F97</f>
        <v>1</v>
      </c>
      <c r="F37">
        <f>'Non Linear Prediction'!G97</f>
        <v>1</v>
      </c>
      <c r="G37">
        <f>'Non Linear Prediction'!H97</f>
        <v>1</v>
      </c>
      <c r="H37">
        <f>'Non Linear Prediction'!I97</f>
        <v>1</v>
      </c>
      <c r="I37">
        <f>'Non Linear Prediction'!J97</f>
        <v>-1</v>
      </c>
      <c r="J37">
        <f>'Non Linear Prediction'!K97</f>
        <v>-1</v>
      </c>
      <c r="K37">
        <f>'Non Linear Prediction'!L97</f>
        <v>-1</v>
      </c>
      <c r="L37">
        <f>'Non Linear Prediction'!M97</f>
        <v>-1</v>
      </c>
      <c r="M37">
        <f>'Non Linear Prediction'!N97</f>
        <v>-1</v>
      </c>
      <c r="N37">
        <f>'Non Linear Prediction'!O97</f>
        <v>-1</v>
      </c>
      <c r="O37">
        <f>'Non Linear Prediction'!P97</f>
        <v>-1</v>
      </c>
      <c r="P37">
        <f>'Non Linear Prediction'!Q97</f>
        <v>-1</v>
      </c>
      <c r="Q37">
        <f>'Non Linear Prediction'!R97</f>
        <v>-1</v>
      </c>
      <c r="R37">
        <f>'Non Linear Prediction'!S97</f>
        <v>-1</v>
      </c>
      <c r="S37">
        <f>'Non Linear Prediction'!T97</f>
        <v>-1</v>
      </c>
      <c r="T37">
        <f>'Non Linear Prediction'!U97</f>
        <v>-1</v>
      </c>
      <c r="U37">
        <f>'Non Linear Prediction'!V97</f>
        <v>-1</v>
      </c>
      <c r="V37">
        <f>'Non Linear Prediction'!W97</f>
        <v>-1</v>
      </c>
      <c r="W37">
        <f>'Non Linear Prediction'!X97</f>
        <v>-1</v>
      </c>
      <c r="X37">
        <f>'Non Linear Prediction'!Y97</f>
        <v>-1</v>
      </c>
      <c r="Y37">
        <f>'Non Linear Prediction'!Z97</f>
        <v>1</v>
      </c>
      <c r="Z37">
        <f>'Non Linear Prediction'!AA97</f>
        <v>1</v>
      </c>
      <c r="AA37">
        <f>'Non Linear Prediction'!AB97</f>
        <v>1</v>
      </c>
      <c r="AB37">
        <f>'Non Linear Prediction'!AC97</f>
        <v>1</v>
      </c>
      <c r="AC37">
        <f>'Non Linear Prediction'!AD97</f>
        <v>1</v>
      </c>
      <c r="AD37">
        <f>'Non Linear Prediction'!AE97</f>
        <v>1</v>
      </c>
      <c r="AE37">
        <f>'Non Linear Prediction'!AF97</f>
        <v>1</v>
      </c>
      <c r="AF37">
        <f>'Non Linear Prediction'!AG97</f>
        <v>1</v>
      </c>
      <c r="AG37">
        <f>'Non Linear Prediction'!AH97</f>
        <v>1</v>
      </c>
      <c r="AH37">
        <f>'Non Linear Prediction'!AI97</f>
        <v>1</v>
      </c>
      <c r="AI37">
        <f>'Non Linear Prediction'!AJ97</f>
        <v>1</v>
      </c>
      <c r="AJ37">
        <f>'Non Linear Prediction'!AK97</f>
        <v>1</v>
      </c>
      <c r="AK37">
        <f>'Non Linear Prediction'!AL97</f>
        <v>1</v>
      </c>
      <c r="AL37">
        <f>'Non Linear Prediction'!AM97</f>
        <v>1</v>
      </c>
      <c r="AM37">
        <f>'Non Linear Prediction'!AN97</f>
        <v>1</v>
      </c>
      <c r="AN37">
        <f>'Non Linear Prediction'!AO97</f>
        <v>1</v>
      </c>
      <c r="AO37">
        <f>'Non Linear Prediction'!AP97</f>
        <v>1</v>
      </c>
    </row>
    <row r="38" spans="1:41" ht="5.0999999999999996" customHeight="1">
      <c r="A38">
        <f>'Non Linear Prediction'!B98</f>
        <v>1</v>
      </c>
      <c r="B38">
        <f>'Non Linear Prediction'!C98</f>
        <v>1</v>
      </c>
      <c r="C38">
        <f>'Non Linear Prediction'!D98</f>
        <v>1</v>
      </c>
      <c r="D38">
        <f>'Non Linear Prediction'!E98</f>
        <v>1</v>
      </c>
      <c r="E38">
        <f>'Non Linear Prediction'!F98</f>
        <v>1</v>
      </c>
      <c r="F38">
        <f>'Non Linear Prediction'!G98</f>
        <v>1</v>
      </c>
      <c r="G38">
        <f>'Non Linear Prediction'!H98</f>
        <v>-1</v>
      </c>
      <c r="H38">
        <f>'Non Linear Prediction'!I98</f>
        <v>-1</v>
      </c>
      <c r="I38">
        <f>'Non Linear Prediction'!J98</f>
        <v>-1</v>
      </c>
      <c r="J38">
        <f>'Non Linear Prediction'!K98</f>
        <v>-1</v>
      </c>
      <c r="K38">
        <f>'Non Linear Prediction'!L98</f>
        <v>-1</v>
      </c>
      <c r="L38">
        <f>'Non Linear Prediction'!M98</f>
        <v>-1</v>
      </c>
      <c r="M38">
        <f>'Non Linear Prediction'!N98</f>
        <v>-1</v>
      </c>
      <c r="N38">
        <f>'Non Linear Prediction'!O98</f>
        <v>-1</v>
      </c>
      <c r="O38">
        <f>'Non Linear Prediction'!P98</f>
        <v>-1</v>
      </c>
      <c r="P38">
        <f>'Non Linear Prediction'!Q98</f>
        <v>-1</v>
      </c>
      <c r="Q38">
        <f>'Non Linear Prediction'!R98</f>
        <v>-1</v>
      </c>
      <c r="R38">
        <f>'Non Linear Prediction'!S98</f>
        <v>-1</v>
      </c>
      <c r="S38">
        <f>'Non Linear Prediction'!T98</f>
        <v>-1</v>
      </c>
      <c r="T38">
        <f>'Non Linear Prediction'!U98</f>
        <v>-1</v>
      </c>
      <c r="U38">
        <f>'Non Linear Prediction'!V98</f>
        <v>-1</v>
      </c>
      <c r="V38">
        <f>'Non Linear Prediction'!W98</f>
        <v>-1</v>
      </c>
      <c r="W38">
        <f>'Non Linear Prediction'!X98</f>
        <v>-1</v>
      </c>
      <c r="X38">
        <f>'Non Linear Prediction'!Y98</f>
        <v>-1</v>
      </c>
      <c r="Y38">
        <f>'Non Linear Prediction'!Z98</f>
        <v>1</v>
      </c>
      <c r="Z38">
        <f>'Non Linear Prediction'!AA98</f>
        <v>1</v>
      </c>
      <c r="AA38">
        <f>'Non Linear Prediction'!AB98</f>
        <v>1</v>
      </c>
      <c r="AB38">
        <f>'Non Linear Prediction'!AC98</f>
        <v>1</v>
      </c>
      <c r="AC38">
        <f>'Non Linear Prediction'!AD98</f>
        <v>1</v>
      </c>
      <c r="AD38">
        <f>'Non Linear Prediction'!AE98</f>
        <v>1</v>
      </c>
      <c r="AE38">
        <f>'Non Linear Prediction'!AF98</f>
        <v>1</v>
      </c>
      <c r="AF38">
        <f>'Non Linear Prediction'!AG98</f>
        <v>1</v>
      </c>
      <c r="AG38">
        <f>'Non Linear Prediction'!AH98</f>
        <v>1</v>
      </c>
      <c r="AH38">
        <f>'Non Linear Prediction'!AI98</f>
        <v>1</v>
      </c>
      <c r="AI38">
        <f>'Non Linear Prediction'!AJ98</f>
        <v>1</v>
      </c>
      <c r="AJ38">
        <f>'Non Linear Prediction'!AK98</f>
        <v>1</v>
      </c>
      <c r="AK38">
        <f>'Non Linear Prediction'!AL98</f>
        <v>1</v>
      </c>
      <c r="AL38">
        <f>'Non Linear Prediction'!AM98</f>
        <v>1</v>
      </c>
      <c r="AM38">
        <f>'Non Linear Prediction'!AN98</f>
        <v>1</v>
      </c>
      <c r="AN38">
        <f>'Non Linear Prediction'!AO98</f>
        <v>1</v>
      </c>
      <c r="AO38">
        <f>'Non Linear Prediction'!AP98</f>
        <v>1</v>
      </c>
    </row>
    <row r="39" spans="1:41" ht="5.0999999999999996" customHeight="1">
      <c r="A39">
        <f>'Non Linear Prediction'!B99</f>
        <v>1</v>
      </c>
      <c r="B39">
        <f>'Non Linear Prediction'!C99</f>
        <v>1</v>
      </c>
      <c r="C39">
        <f>'Non Linear Prediction'!D99</f>
        <v>1</v>
      </c>
      <c r="D39">
        <f>'Non Linear Prediction'!E99</f>
        <v>1</v>
      </c>
      <c r="E39">
        <f>'Non Linear Prediction'!F99</f>
        <v>1</v>
      </c>
      <c r="F39">
        <f>'Non Linear Prediction'!G99</f>
        <v>-1</v>
      </c>
      <c r="G39">
        <f>'Non Linear Prediction'!H99</f>
        <v>-1</v>
      </c>
      <c r="H39">
        <f>'Non Linear Prediction'!I99</f>
        <v>-1</v>
      </c>
      <c r="I39">
        <f>'Non Linear Prediction'!J99</f>
        <v>-1</v>
      </c>
      <c r="J39">
        <f>'Non Linear Prediction'!K99</f>
        <v>-1</v>
      </c>
      <c r="K39">
        <f>'Non Linear Prediction'!L99</f>
        <v>-1</v>
      </c>
      <c r="L39">
        <f>'Non Linear Prediction'!M99</f>
        <v>-1</v>
      </c>
      <c r="M39">
        <f>'Non Linear Prediction'!N99</f>
        <v>-1</v>
      </c>
      <c r="N39">
        <f>'Non Linear Prediction'!O99</f>
        <v>-1</v>
      </c>
      <c r="O39">
        <f>'Non Linear Prediction'!P99</f>
        <v>-1</v>
      </c>
      <c r="P39">
        <f>'Non Linear Prediction'!Q99</f>
        <v>-1</v>
      </c>
      <c r="Q39">
        <f>'Non Linear Prediction'!R99</f>
        <v>-1</v>
      </c>
      <c r="R39">
        <f>'Non Linear Prediction'!S99</f>
        <v>-1</v>
      </c>
      <c r="S39">
        <f>'Non Linear Prediction'!T99</f>
        <v>-1</v>
      </c>
      <c r="T39">
        <f>'Non Linear Prediction'!U99</f>
        <v>-1</v>
      </c>
      <c r="U39">
        <f>'Non Linear Prediction'!V99</f>
        <v>-1</v>
      </c>
      <c r="V39">
        <f>'Non Linear Prediction'!W99</f>
        <v>-1</v>
      </c>
      <c r="W39">
        <f>'Non Linear Prediction'!X99</f>
        <v>-1</v>
      </c>
      <c r="X39">
        <f>'Non Linear Prediction'!Y99</f>
        <v>-1</v>
      </c>
      <c r="Y39">
        <f>'Non Linear Prediction'!Z99</f>
        <v>1</v>
      </c>
      <c r="Z39">
        <f>'Non Linear Prediction'!AA99</f>
        <v>1</v>
      </c>
      <c r="AA39">
        <f>'Non Linear Prediction'!AB99</f>
        <v>1</v>
      </c>
      <c r="AB39">
        <f>'Non Linear Prediction'!AC99</f>
        <v>1</v>
      </c>
      <c r="AC39">
        <f>'Non Linear Prediction'!AD99</f>
        <v>1</v>
      </c>
      <c r="AD39">
        <f>'Non Linear Prediction'!AE99</f>
        <v>1</v>
      </c>
      <c r="AE39">
        <f>'Non Linear Prediction'!AF99</f>
        <v>1</v>
      </c>
      <c r="AF39">
        <f>'Non Linear Prediction'!AG99</f>
        <v>1</v>
      </c>
      <c r="AG39">
        <f>'Non Linear Prediction'!AH99</f>
        <v>1</v>
      </c>
      <c r="AH39">
        <f>'Non Linear Prediction'!AI99</f>
        <v>1</v>
      </c>
      <c r="AI39">
        <f>'Non Linear Prediction'!AJ99</f>
        <v>1</v>
      </c>
      <c r="AJ39">
        <f>'Non Linear Prediction'!AK99</f>
        <v>1</v>
      </c>
      <c r="AK39">
        <f>'Non Linear Prediction'!AL99</f>
        <v>1</v>
      </c>
      <c r="AL39">
        <f>'Non Linear Prediction'!AM99</f>
        <v>1</v>
      </c>
      <c r="AM39">
        <f>'Non Linear Prediction'!AN99</f>
        <v>1</v>
      </c>
      <c r="AN39">
        <f>'Non Linear Prediction'!AO99</f>
        <v>1</v>
      </c>
      <c r="AO39">
        <f>'Non Linear Prediction'!AP99</f>
        <v>1</v>
      </c>
    </row>
    <row r="40" spans="1:41" ht="5.0999999999999996" customHeight="1">
      <c r="A40">
        <f>'Non Linear Prediction'!B100</f>
        <v>1</v>
      </c>
      <c r="B40">
        <f>'Non Linear Prediction'!C100</f>
        <v>1</v>
      </c>
      <c r="C40">
        <f>'Non Linear Prediction'!D100</f>
        <v>1</v>
      </c>
      <c r="D40">
        <f>'Non Linear Prediction'!E100</f>
        <v>-1</v>
      </c>
      <c r="E40">
        <f>'Non Linear Prediction'!F100</f>
        <v>-1</v>
      </c>
      <c r="F40">
        <f>'Non Linear Prediction'!G100</f>
        <v>-1</v>
      </c>
      <c r="G40">
        <f>'Non Linear Prediction'!H100</f>
        <v>-1</v>
      </c>
      <c r="H40">
        <f>'Non Linear Prediction'!I100</f>
        <v>-1</v>
      </c>
      <c r="I40">
        <f>'Non Linear Prediction'!J100</f>
        <v>-1</v>
      </c>
      <c r="J40">
        <f>'Non Linear Prediction'!K100</f>
        <v>-1</v>
      </c>
      <c r="K40">
        <f>'Non Linear Prediction'!L100</f>
        <v>-1</v>
      </c>
      <c r="L40">
        <f>'Non Linear Prediction'!M100</f>
        <v>-1</v>
      </c>
      <c r="M40">
        <f>'Non Linear Prediction'!N100</f>
        <v>-1</v>
      </c>
      <c r="N40">
        <f>'Non Linear Prediction'!O100</f>
        <v>-1</v>
      </c>
      <c r="O40">
        <f>'Non Linear Prediction'!P100</f>
        <v>-1</v>
      </c>
      <c r="P40">
        <f>'Non Linear Prediction'!Q100</f>
        <v>-1</v>
      </c>
      <c r="Q40">
        <f>'Non Linear Prediction'!R100</f>
        <v>-1</v>
      </c>
      <c r="R40">
        <f>'Non Linear Prediction'!S100</f>
        <v>-1</v>
      </c>
      <c r="S40">
        <f>'Non Linear Prediction'!T100</f>
        <v>-1</v>
      </c>
      <c r="T40">
        <f>'Non Linear Prediction'!U100</f>
        <v>-1</v>
      </c>
      <c r="U40">
        <f>'Non Linear Prediction'!V100</f>
        <v>-1</v>
      </c>
      <c r="V40">
        <f>'Non Linear Prediction'!W100</f>
        <v>-1</v>
      </c>
      <c r="W40">
        <f>'Non Linear Prediction'!X100</f>
        <v>-1</v>
      </c>
      <c r="X40">
        <f>'Non Linear Prediction'!Y100</f>
        <v>-1</v>
      </c>
      <c r="Y40">
        <f>'Non Linear Prediction'!Z100</f>
        <v>-1</v>
      </c>
      <c r="Z40">
        <f>'Non Linear Prediction'!AA100</f>
        <v>1</v>
      </c>
      <c r="AA40">
        <f>'Non Linear Prediction'!AB100</f>
        <v>1</v>
      </c>
      <c r="AB40">
        <f>'Non Linear Prediction'!AC100</f>
        <v>1</v>
      </c>
      <c r="AC40">
        <f>'Non Linear Prediction'!AD100</f>
        <v>1</v>
      </c>
      <c r="AD40">
        <f>'Non Linear Prediction'!AE100</f>
        <v>1</v>
      </c>
      <c r="AE40">
        <f>'Non Linear Prediction'!AF100</f>
        <v>1</v>
      </c>
      <c r="AF40">
        <f>'Non Linear Prediction'!AG100</f>
        <v>1</v>
      </c>
      <c r="AG40">
        <f>'Non Linear Prediction'!AH100</f>
        <v>1</v>
      </c>
      <c r="AH40">
        <f>'Non Linear Prediction'!AI100</f>
        <v>1</v>
      </c>
      <c r="AI40">
        <f>'Non Linear Prediction'!AJ100</f>
        <v>1</v>
      </c>
      <c r="AJ40">
        <f>'Non Linear Prediction'!AK100</f>
        <v>1</v>
      </c>
      <c r="AK40">
        <f>'Non Linear Prediction'!AL100</f>
        <v>1</v>
      </c>
      <c r="AL40">
        <f>'Non Linear Prediction'!AM100</f>
        <v>1</v>
      </c>
      <c r="AM40">
        <f>'Non Linear Prediction'!AN100</f>
        <v>1</v>
      </c>
      <c r="AN40">
        <f>'Non Linear Prediction'!AO100</f>
        <v>1</v>
      </c>
      <c r="AO40">
        <f>'Non Linear Prediction'!AP100</f>
        <v>1</v>
      </c>
    </row>
    <row r="41" spans="1:41" ht="5.0999999999999996" customHeight="1">
      <c r="A41">
        <f>'Non Linear Prediction'!B101</f>
        <v>1</v>
      </c>
      <c r="B41">
        <f>'Non Linear Prediction'!C101</f>
        <v>-1</v>
      </c>
      <c r="C41">
        <f>'Non Linear Prediction'!D101</f>
        <v>-1</v>
      </c>
      <c r="D41">
        <f>'Non Linear Prediction'!E101</f>
        <v>-1</v>
      </c>
      <c r="E41">
        <f>'Non Linear Prediction'!F101</f>
        <v>-1</v>
      </c>
      <c r="F41">
        <f>'Non Linear Prediction'!G101</f>
        <v>-1</v>
      </c>
      <c r="G41">
        <f>'Non Linear Prediction'!H101</f>
        <v>-1</v>
      </c>
      <c r="H41">
        <f>'Non Linear Prediction'!I101</f>
        <v>-1</v>
      </c>
      <c r="I41">
        <f>'Non Linear Prediction'!J101</f>
        <v>-1</v>
      </c>
      <c r="J41">
        <f>'Non Linear Prediction'!K101</f>
        <v>-1</v>
      </c>
      <c r="K41">
        <f>'Non Linear Prediction'!L101</f>
        <v>-1</v>
      </c>
      <c r="L41">
        <f>'Non Linear Prediction'!M101</f>
        <v>-1</v>
      </c>
      <c r="M41">
        <f>'Non Linear Prediction'!N101</f>
        <v>-1</v>
      </c>
      <c r="N41">
        <f>'Non Linear Prediction'!O101</f>
        <v>-1</v>
      </c>
      <c r="O41">
        <f>'Non Linear Prediction'!P101</f>
        <v>-1</v>
      </c>
      <c r="P41">
        <f>'Non Linear Prediction'!Q101</f>
        <v>-1</v>
      </c>
      <c r="Q41">
        <f>'Non Linear Prediction'!R101</f>
        <v>-1</v>
      </c>
      <c r="R41">
        <f>'Non Linear Prediction'!S101</f>
        <v>-1</v>
      </c>
      <c r="S41">
        <f>'Non Linear Prediction'!T101</f>
        <v>-1</v>
      </c>
      <c r="T41">
        <f>'Non Linear Prediction'!U101</f>
        <v>-1</v>
      </c>
      <c r="U41">
        <f>'Non Linear Prediction'!V101</f>
        <v>-1</v>
      </c>
      <c r="V41">
        <f>'Non Linear Prediction'!W101</f>
        <v>-1</v>
      </c>
      <c r="W41">
        <f>'Non Linear Prediction'!X101</f>
        <v>-1</v>
      </c>
      <c r="X41">
        <f>'Non Linear Prediction'!Y101</f>
        <v>-1</v>
      </c>
      <c r="Y41">
        <f>'Non Linear Prediction'!Z101</f>
        <v>-1</v>
      </c>
      <c r="Z41">
        <f>'Non Linear Prediction'!AA101</f>
        <v>1</v>
      </c>
      <c r="AA41">
        <f>'Non Linear Prediction'!AB101</f>
        <v>1</v>
      </c>
      <c r="AB41">
        <f>'Non Linear Prediction'!AC101</f>
        <v>1</v>
      </c>
      <c r="AC41">
        <f>'Non Linear Prediction'!AD101</f>
        <v>1</v>
      </c>
      <c r="AD41">
        <f>'Non Linear Prediction'!AE101</f>
        <v>1</v>
      </c>
      <c r="AE41">
        <f>'Non Linear Prediction'!AF101</f>
        <v>1</v>
      </c>
      <c r="AF41">
        <f>'Non Linear Prediction'!AG101</f>
        <v>1</v>
      </c>
      <c r="AG41">
        <f>'Non Linear Prediction'!AH101</f>
        <v>1</v>
      </c>
      <c r="AH41">
        <f>'Non Linear Prediction'!AI101</f>
        <v>1</v>
      </c>
      <c r="AI41">
        <f>'Non Linear Prediction'!AJ101</f>
        <v>1</v>
      </c>
      <c r="AJ41">
        <f>'Non Linear Prediction'!AK101</f>
        <v>1</v>
      </c>
      <c r="AK41">
        <f>'Non Linear Prediction'!AL101</f>
        <v>1</v>
      </c>
      <c r="AL41">
        <f>'Non Linear Prediction'!AM101</f>
        <v>1</v>
      </c>
      <c r="AM41">
        <f>'Non Linear Prediction'!AN101</f>
        <v>1</v>
      </c>
      <c r="AN41">
        <f>'Non Linear Prediction'!AO101</f>
        <v>1</v>
      </c>
      <c r="AO41">
        <f>'Non Linear Prediction'!AP101</f>
        <v>1</v>
      </c>
    </row>
  </sheetData>
  <conditionalFormatting sqref="A1:AO41">
    <cfRule type="colorScale" priority="1">
      <colorScale>
        <cfvo type="min" val="0"/>
        <cfvo type="percentile" val="50"/>
        <cfvo type="max" val="0"/>
        <color rgb="FFF8696B"/>
        <color rgb="FFFFEB84"/>
        <color rgb="FF5A8AC6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</vt:lpstr>
      <vt:lpstr>Non Linear Calculation</vt:lpstr>
      <vt:lpstr>Non Linear Prediction</vt:lpstr>
      <vt:lpstr>Plotting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2010-09-30T17:00:36Z</dcterms:modified>
</cp:coreProperties>
</file>