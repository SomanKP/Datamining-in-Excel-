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0" windowWidth="20055" windowHeight="7935"/>
  </bookViews>
  <sheets>
    <sheet name="K-Means" sheetId="3" r:id="rId1"/>
    <sheet name="K_Medoids" sheetId="2" r:id="rId2"/>
  </sheets>
  <definedNames>
    <definedName name="_xlnm._FilterDatabase" localSheetId="1" hidden="1">K_Medoids!$N$7:$Q$7</definedName>
    <definedName name="DATATABE">#REF!</definedName>
    <definedName name="DATATABLE">#REF!</definedName>
    <definedName name="solver_adj" localSheetId="0" hidden="1">'K-Means'!$F$8:$K$8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'K-Means'!$T$21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24519"/>
</workbook>
</file>

<file path=xl/calcChain.xml><?xml version="1.0" encoding="utf-8"?>
<calcChain xmlns="http://schemas.openxmlformats.org/spreadsheetml/2006/main">
  <c r="T8" i="3"/>
  <c r="T9"/>
  <c r="T10"/>
  <c r="T11"/>
  <c r="T12"/>
  <c r="T13"/>
  <c r="T14"/>
  <c r="T15"/>
  <c r="T16"/>
  <c r="T17"/>
  <c r="T18"/>
  <c r="T19"/>
  <c r="T20"/>
  <c r="V8" i="2"/>
  <c r="W8"/>
  <c r="X8"/>
  <c r="Y8"/>
  <c r="Z8"/>
  <c r="AA8"/>
  <c r="V9"/>
  <c r="W9"/>
  <c r="X9"/>
  <c r="Y9"/>
  <c r="Z9"/>
  <c r="AA9"/>
  <c r="V10"/>
  <c r="W10"/>
  <c r="X10"/>
  <c r="Y10"/>
  <c r="Z10"/>
  <c r="AA10"/>
  <c r="V11"/>
  <c r="W11"/>
  <c r="X11"/>
  <c r="Y11"/>
  <c r="Z11"/>
  <c r="AA11"/>
  <c r="V12"/>
  <c r="W12"/>
  <c r="X12"/>
  <c r="Y12"/>
  <c r="Z12"/>
  <c r="AA12"/>
  <c r="V13"/>
  <c r="W13"/>
  <c r="X13"/>
  <c r="Y13"/>
  <c r="Z13"/>
  <c r="AA13"/>
  <c r="V14"/>
  <c r="W14"/>
  <c r="X14"/>
  <c r="Y14"/>
  <c r="Z14"/>
  <c r="AA14"/>
  <c r="V15"/>
  <c r="W15"/>
  <c r="X15"/>
  <c r="Y15"/>
  <c r="Z15"/>
  <c r="AA15"/>
  <c r="V16"/>
  <c r="W16"/>
  <c r="X16"/>
  <c r="Y16"/>
  <c r="Z16"/>
  <c r="AA16"/>
  <c r="V17"/>
  <c r="W17"/>
  <c r="X17"/>
  <c r="Y17"/>
  <c r="Z17"/>
  <c r="AA17"/>
  <c r="V18"/>
  <c r="W18"/>
  <c r="X18"/>
  <c r="Y18"/>
  <c r="Z18"/>
  <c r="AA18"/>
  <c r="V19"/>
  <c r="W19"/>
  <c r="X19"/>
  <c r="Y19"/>
  <c r="Z19"/>
  <c r="AA19"/>
  <c r="V20"/>
  <c r="W20"/>
  <c r="X20"/>
  <c r="Y20"/>
  <c r="Z20"/>
  <c r="AA20"/>
  <c r="G11"/>
  <c r="K11"/>
  <c r="I11"/>
  <c r="K14"/>
  <c r="S7" s="1"/>
  <c r="J14"/>
  <c r="R7" s="1"/>
  <c r="J11" i="3"/>
  <c r="R7" s="1"/>
  <c r="I11"/>
  <c r="Q7" s="1"/>
  <c r="L11" i="2" l="1"/>
  <c r="Q7" s="1"/>
  <c r="J11"/>
  <c r="P7" s="1"/>
  <c r="H11"/>
  <c r="O7" s="1"/>
  <c r="P7" i="3"/>
  <c r="N7"/>
  <c r="O7"/>
  <c r="T7" l="1"/>
  <c r="T21" s="1"/>
  <c r="T7" i="2"/>
  <c r="AA7" s="1"/>
  <c r="S7" i="3"/>
  <c r="Y7" i="2" l="1"/>
  <c r="Y21" s="1"/>
  <c r="Z7"/>
  <c r="Z21" s="1"/>
  <c r="X7"/>
  <c r="X21" s="1"/>
  <c r="V7"/>
  <c r="V21" s="1"/>
  <c r="W7"/>
  <c r="W21" s="1"/>
  <c r="AA21"/>
  <c r="X24" l="1"/>
  <c r="X38" s="1"/>
  <c r="H27" s="1"/>
  <c r="W24"/>
  <c r="W38" s="1"/>
  <c r="Y24"/>
  <c r="Y38" s="1"/>
  <c r="I27" l="1"/>
  <c r="G27"/>
</calcChain>
</file>

<file path=xl/sharedStrings.xml><?xml version="1.0" encoding="utf-8"?>
<sst xmlns="http://schemas.openxmlformats.org/spreadsheetml/2006/main" count="68" uniqueCount="33">
  <si>
    <t>INDEX</t>
  </si>
  <si>
    <t>X</t>
  </si>
  <si>
    <t>Y</t>
  </si>
  <si>
    <t>SL NO</t>
  </si>
  <si>
    <t>CLASS</t>
  </si>
  <si>
    <t>INDEX 1</t>
  </si>
  <si>
    <t>`</t>
  </si>
  <si>
    <t>Distance to 
CENTROID 1</t>
  </si>
  <si>
    <t>Distance to 
CENTROID 2</t>
  </si>
  <si>
    <t>Distance to 
CENTROID 3</t>
  </si>
  <si>
    <t>Obtained Clusters</t>
  </si>
  <si>
    <t>K -Medoids Clustring (K=3)</t>
  </si>
  <si>
    <t xml:space="preserve"> INDEX 3</t>
  </si>
  <si>
    <t>INDEX 2</t>
  </si>
  <si>
    <t>Cluster Center 1</t>
  </si>
  <si>
    <t>Cluster Center 2</t>
  </si>
  <si>
    <t>Cluster Center 3</t>
  </si>
  <si>
    <t>INDEX  OF CURRENT POINT</t>
  </si>
  <si>
    <t>TEST DATA</t>
  </si>
  <si>
    <t>Average of Custrer1 points(Y)</t>
  </si>
  <si>
    <t>Average of Custrer 2 points(X)</t>
  </si>
  <si>
    <t>Average of Custrer 2 points(Y)</t>
  </si>
  <si>
    <t>Average of Custrer 3 points(X)</t>
  </si>
  <si>
    <t>Average of Custrer 3 points(Y)</t>
  </si>
  <si>
    <t>Average of Custrer 1 points(X)</t>
  </si>
  <si>
    <t>Distance of Centroid 1
 with other points</t>
  </si>
  <si>
    <t>Distance of Centroid 2
 with  other points</t>
  </si>
  <si>
    <t>Distance of  Centroid 3
 with other points</t>
  </si>
  <si>
    <t>Index of MINIMUM
DISTANCE Data Point</t>
  </si>
  <si>
    <t>K-Means Clusturing (K=3)</t>
  </si>
  <si>
    <t>Initial Clusters</t>
  </si>
  <si>
    <t>Minimum
 Distance</t>
  </si>
  <si>
    <t>Sum of Minimum distances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</si>
</sst>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0" borderId="0" xfId="0" applyBorder="1" applyAlignment="1"/>
    <xf numFmtId="0" fontId="0" fillId="3" borderId="1" xfId="0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2" fillId="6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11"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theme="3" tint="0.59996337778862885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theme="3" tint="0.59996337778862885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1984;108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v>Data Points</c:v>
          </c:tx>
          <c:spPr>
            <a:ln w="28575">
              <a:noFill/>
            </a:ln>
          </c:spPr>
          <c:xVal>
            <c:numRef>
              <c:f>'K-Means'!$C$7:$C$20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8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5</c:v>
                </c:pt>
                <c:pt idx="7">
                  <c:v>3</c:v>
                </c:pt>
                <c:pt idx="8">
                  <c:v>6</c:v>
                </c:pt>
                <c:pt idx="9">
                  <c:v>7</c:v>
                </c:pt>
                <c:pt idx="10">
                  <c:v>10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</c:numCache>
            </c:numRef>
          </c:xVal>
          <c:yVal>
            <c:numRef>
              <c:f>'K-Means'!$D$7:$D$20</c:f>
              <c:numCache>
                <c:formatCode>General</c:formatCode>
                <c:ptCount val="14"/>
                <c:pt idx="0">
                  <c:v>12</c:v>
                </c:pt>
                <c:pt idx="1">
                  <c:v>10</c:v>
                </c:pt>
                <c:pt idx="2">
                  <c:v>7</c:v>
                </c:pt>
                <c:pt idx="3">
                  <c:v>3</c:v>
                </c:pt>
                <c:pt idx="4">
                  <c:v>4</c:v>
                </c:pt>
                <c:pt idx="5">
                  <c:v>11</c:v>
                </c:pt>
                <c:pt idx="6">
                  <c:v>4</c:v>
                </c:pt>
                <c:pt idx="7">
                  <c:v>8</c:v>
                </c:pt>
                <c:pt idx="8">
                  <c:v>2</c:v>
                </c:pt>
                <c:pt idx="9">
                  <c:v>4</c:v>
                </c:pt>
                <c:pt idx="10">
                  <c:v>8</c:v>
                </c:pt>
                <c:pt idx="11">
                  <c:v>9</c:v>
                </c:pt>
                <c:pt idx="12">
                  <c:v>9</c:v>
                </c:pt>
                <c:pt idx="13">
                  <c:v>12</c:v>
                </c:pt>
              </c:numCache>
            </c:numRef>
          </c:yVal>
        </c:ser>
        <c:ser>
          <c:idx val="1"/>
          <c:order val="1"/>
          <c:tx>
            <c:v>Centroid 1</c:v>
          </c:tx>
          <c:spPr>
            <a:ln w="28575">
              <a:noFill/>
            </a:ln>
          </c:spPr>
          <c:xVal>
            <c:numRef>
              <c:f>'K-Means'!$F$8</c:f>
              <c:numCache>
                <c:formatCode>General</c:formatCode>
                <c:ptCount val="1"/>
                <c:pt idx="0">
                  <c:v>5.2181555319094146</c:v>
                </c:pt>
              </c:numCache>
            </c:numRef>
          </c:xVal>
          <c:yVal>
            <c:numRef>
              <c:f>'K-Means'!$G$8</c:f>
              <c:numCache>
                <c:formatCode>General</c:formatCode>
                <c:ptCount val="1"/>
                <c:pt idx="0">
                  <c:v>3.6673687737224392</c:v>
                </c:pt>
              </c:numCache>
            </c:numRef>
          </c:yVal>
        </c:ser>
        <c:ser>
          <c:idx val="2"/>
          <c:order val="2"/>
          <c:tx>
            <c:v>Centroid 2</c:v>
          </c:tx>
          <c:spPr>
            <a:ln w="28575">
              <a:solidFill>
                <a:schemeClr val="accent1"/>
              </a:solidFill>
            </a:ln>
          </c:spPr>
          <c:marker>
            <c:symbol val="square"/>
            <c:size val="7"/>
            <c:spPr>
              <a:solidFill>
                <a:srgbClr val="92D050"/>
              </a:solidFill>
            </c:spPr>
          </c:marker>
          <c:dPt>
            <c:idx val="0"/>
            <c:spPr/>
          </c:dPt>
          <c:xVal>
            <c:numRef>
              <c:f>'K-Means'!$H$8</c:f>
              <c:numCache>
                <c:formatCode>General</c:formatCode>
                <c:ptCount val="1"/>
                <c:pt idx="0">
                  <c:v>3.6153855881635044</c:v>
                </c:pt>
              </c:numCache>
            </c:numRef>
          </c:xVal>
          <c:yVal>
            <c:numRef>
              <c:f>'K-Means'!$I$8</c:f>
              <c:numCache>
                <c:formatCode>General</c:formatCode>
                <c:ptCount val="1"/>
                <c:pt idx="0">
                  <c:v>10.461536901043889</c:v>
                </c:pt>
              </c:numCache>
            </c:numRef>
          </c:yVal>
        </c:ser>
        <c:ser>
          <c:idx val="3"/>
          <c:order val="3"/>
          <c:tx>
            <c:v>Centroid 3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FF00"/>
              </a:solidFill>
            </c:spPr>
          </c:marker>
          <c:xVal>
            <c:numRef>
              <c:f>'K-Means'!$J$8</c:f>
              <c:numCache>
                <c:formatCode>General</c:formatCode>
                <c:ptCount val="1"/>
                <c:pt idx="0">
                  <c:v>9.4784179976858223</c:v>
                </c:pt>
              </c:numCache>
            </c:numRef>
          </c:xVal>
          <c:yVal>
            <c:numRef>
              <c:f>'K-Means'!$K$8</c:f>
              <c:numCache>
                <c:formatCode>General</c:formatCode>
                <c:ptCount val="1"/>
                <c:pt idx="0">
                  <c:v>8.7505541077491849</c:v>
                </c:pt>
              </c:numCache>
            </c:numRef>
          </c:yVal>
        </c:ser>
        <c:axId val="187456512"/>
        <c:axId val="187462784"/>
      </c:scatterChart>
      <c:valAx>
        <c:axId val="187456512"/>
        <c:scaling>
          <c:orientation val="minMax"/>
        </c:scaling>
        <c:axPos val="b"/>
        <c:numFmt formatCode="General" sourceLinked="1"/>
        <c:tickLblPos val="nextTo"/>
        <c:crossAx val="187462784"/>
        <c:crosses val="autoZero"/>
        <c:crossBetween val="midCat"/>
      </c:valAx>
      <c:valAx>
        <c:axId val="187462784"/>
        <c:scaling>
          <c:orientation val="minMax"/>
        </c:scaling>
        <c:axPos val="l"/>
        <c:numFmt formatCode="General" sourceLinked="1"/>
        <c:tickLblPos val="nextTo"/>
        <c:crossAx val="1874565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v>Data Points</c:v>
          </c:tx>
          <c:spPr>
            <a:ln w="28575">
              <a:noFill/>
            </a:ln>
          </c:spPr>
          <c:xVal>
            <c:numRef>
              <c:f>K_Medoids!$D$7:$D$20</c:f>
              <c:numCache>
                <c:formatCode>General</c:formatCode>
                <c:ptCount val="14"/>
                <c:pt idx="0">
                  <c:v>3</c:v>
                </c:pt>
                <c:pt idx="1">
                  <c:v>3</c:v>
                </c:pt>
                <c:pt idx="2">
                  <c:v>8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5</c:v>
                </c:pt>
                <c:pt idx="7">
                  <c:v>2</c:v>
                </c:pt>
                <c:pt idx="8">
                  <c:v>6</c:v>
                </c:pt>
                <c:pt idx="9">
                  <c:v>4</c:v>
                </c:pt>
                <c:pt idx="10">
                  <c:v>10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</c:numCache>
            </c:numRef>
          </c:xVal>
          <c:yVal>
            <c:numRef>
              <c:f>K_Medoids!$E$7:$E$20</c:f>
              <c:numCache>
                <c:formatCode>General</c:formatCode>
                <c:ptCount val="14"/>
                <c:pt idx="0">
                  <c:v>13</c:v>
                </c:pt>
                <c:pt idx="1">
                  <c:v>10</c:v>
                </c:pt>
                <c:pt idx="2">
                  <c:v>7</c:v>
                </c:pt>
                <c:pt idx="3">
                  <c:v>2</c:v>
                </c:pt>
                <c:pt idx="4">
                  <c:v>4</c:v>
                </c:pt>
                <c:pt idx="5">
                  <c:v>11</c:v>
                </c:pt>
                <c:pt idx="6">
                  <c:v>4</c:v>
                </c:pt>
                <c:pt idx="7">
                  <c:v>14</c:v>
                </c:pt>
                <c:pt idx="8">
                  <c:v>2</c:v>
                </c:pt>
                <c:pt idx="9">
                  <c:v>2</c:v>
                </c:pt>
                <c:pt idx="10">
                  <c:v>8</c:v>
                </c:pt>
                <c:pt idx="11">
                  <c:v>9</c:v>
                </c:pt>
                <c:pt idx="12">
                  <c:v>9</c:v>
                </c:pt>
                <c:pt idx="13">
                  <c:v>12</c:v>
                </c:pt>
              </c:numCache>
            </c:numRef>
          </c:yVal>
        </c:ser>
        <c:ser>
          <c:idx val="1"/>
          <c:order val="1"/>
          <c:tx>
            <c:v>Centroid 1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accent3"/>
              </a:solidFill>
            </c:spPr>
          </c:marker>
          <c:xVal>
            <c:numRef>
              <c:f>K_Medoids!$G$11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K_Medoids!$H$11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</c:ser>
        <c:ser>
          <c:idx val="2"/>
          <c:order val="2"/>
          <c:tx>
            <c:v>Centroid 2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</c:spPr>
          </c:marker>
          <c:xVal>
            <c:numRef>
              <c:f>K_Medoids!$I$11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K_Medoids!$J$11</c:f>
              <c:numCache>
                <c:formatCode>General</c:formatCode>
                <c:ptCount val="1"/>
                <c:pt idx="0">
                  <c:v>11</c:v>
                </c:pt>
              </c:numCache>
            </c:numRef>
          </c:yVal>
        </c:ser>
        <c:ser>
          <c:idx val="3"/>
          <c:order val="3"/>
          <c:tx>
            <c:v>Centroid 3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chemeClr val="bg2">
                  <a:lumMod val="50000"/>
                </a:schemeClr>
              </a:solidFill>
            </c:spPr>
          </c:marker>
          <c:dPt>
            <c:idx val="0"/>
            <c:marker>
              <c:spPr>
                <a:solidFill>
                  <a:srgbClr val="FFFF00"/>
                </a:solidFill>
              </c:spPr>
            </c:marker>
          </c:dPt>
          <c:xVal>
            <c:numRef>
              <c:f>K_Medoids!$K$11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K_Medoids!$L$11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</c:ser>
        <c:axId val="188318848"/>
        <c:axId val="188320384"/>
      </c:scatterChart>
      <c:valAx>
        <c:axId val="188318848"/>
        <c:scaling>
          <c:orientation val="minMax"/>
        </c:scaling>
        <c:axPos val="b"/>
        <c:numFmt formatCode="General" sourceLinked="1"/>
        <c:tickLblPos val="nextTo"/>
        <c:crossAx val="188320384"/>
        <c:crosses val="autoZero"/>
        <c:crossBetween val="midCat"/>
      </c:valAx>
      <c:valAx>
        <c:axId val="188320384"/>
        <c:scaling>
          <c:orientation val="minMax"/>
        </c:scaling>
        <c:axPos val="l"/>
        <c:majorGridlines/>
        <c:numFmt formatCode="General" sourceLinked="1"/>
        <c:tickLblPos val="nextTo"/>
        <c:crossAx val="18831884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13</xdr:row>
      <xdr:rowOff>19050</xdr:rowOff>
    </xdr:from>
    <xdr:to>
      <xdr:col>11</xdr:col>
      <xdr:colOff>0</xdr:colOff>
      <xdr:row>25</xdr:row>
      <xdr:rowOff>180976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314325</xdr:colOff>
      <xdr:row>22</xdr:row>
      <xdr:rowOff>142875</xdr:rowOff>
    </xdr:from>
    <xdr:to>
      <xdr:col>20</xdr:col>
      <xdr:colOff>495300</xdr:colOff>
      <xdr:row>24</xdr:row>
      <xdr:rowOff>161925</xdr:rowOff>
    </xdr:to>
    <xdr:sp macro="" textlink="">
      <xdr:nvSpPr>
        <xdr:cNvPr id="4" name="Rectangle 3"/>
        <xdr:cNvSpPr/>
      </xdr:nvSpPr>
      <xdr:spPr>
        <a:xfrm>
          <a:off x="11496675" y="5486400"/>
          <a:ext cx="1714500" cy="4381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Our</a:t>
          </a:r>
          <a:r>
            <a:rPr lang="en-US" sz="1100" baseline="0"/>
            <a:t> objective is to mimimize sum of  these distance</a:t>
          </a:r>
          <a:endParaRPr lang="en-US" sz="1100"/>
        </a:p>
      </xdr:txBody>
    </xdr:sp>
    <xdr:clientData/>
  </xdr:twoCellAnchor>
  <xdr:twoCellAnchor>
    <xdr:from>
      <xdr:col>19</xdr:col>
      <xdr:colOff>404813</xdr:colOff>
      <xdr:row>21</xdr:row>
      <xdr:rowOff>14292</xdr:rowOff>
    </xdr:from>
    <xdr:to>
      <xdr:col>19</xdr:col>
      <xdr:colOff>519113</xdr:colOff>
      <xdr:row>22</xdr:row>
      <xdr:rowOff>100017</xdr:rowOff>
    </xdr:to>
    <xdr:sp macro="" textlink="">
      <xdr:nvSpPr>
        <xdr:cNvPr id="5" name="Left Arrow 4"/>
        <xdr:cNvSpPr/>
      </xdr:nvSpPr>
      <xdr:spPr>
        <a:xfrm rot="5400000">
          <a:off x="12172950" y="5238755"/>
          <a:ext cx="295275" cy="114300"/>
        </a:xfrm>
        <a:prstGeom prst="lef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16</xdr:row>
      <xdr:rowOff>19050</xdr:rowOff>
    </xdr:from>
    <xdr:to>
      <xdr:col>12</xdr:col>
      <xdr:colOff>0</xdr:colOff>
      <xdr:row>25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2:Z21"/>
  <sheetViews>
    <sheetView tabSelected="1" topLeftCell="F3" workbookViewId="0">
      <selection activeCell="V11" sqref="V11"/>
    </sheetView>
  </sheetViews>
  <sheetFormatPr defaultRowHeight="16.5" customHeight="1"/>
  <cols>
    <col min="1" max="1" width="7" style="1" customWidth="1"/>
    <col min="2" max="3" width="9.140625" style="1"/>
    <col min="4" max="4" width="8.140625" style="1" customWidth="1"/>
    <col min="5" max="5" width="9.140625" style="1"/>
    <col min="6" max="6" width="10.85546875" style="1" customWidth="1"/>
    <col min="7" max="7" width="11" style="1" customWidth="1"/>
    <col min="8" max="8" width="13" style="1" customWidth="1"/>
    <col min="9" max="11" width="11" style="1" customWidth="1"/>
    <col min="12" max="12" width="8.140625" style="1" customWidth="1"/>
    <col min="13" max="13" width="6.5703125" style="1" customWidth="1"/>
    <col min="14" max="14" width="12" style="1" bestFit="1" customWidth="1"/>
    <col min="15" max="15" width="12.28515625" style="1" bestFit="1" customWidth="1"/>
    <col min="16" max="16" width="12.28515625" style="1" customWidth="1"/>
    <col min="17" max="18" width="3" style="1" customWidth="1"/>
    <col min="19" max="19" width="10.140625" style="1" customWidth="1"/>
    <col min="20" max="20" width="12.85546875" style="1" customWidth="1"/>
    <col min="21" max="26" width="16.5703125" style="1" customWidth="1"/>
    <col min="27" max="16384" width="9.140625" style="1"/>
  </cols>
  <sheetData>
    <row r="2" spans="1:26" ht="16.5" customHeight="1">
      <c r="A2" s="29" t="s">
        <v>29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</row>
    <row r="3" spans="1:26" ht="16.5" customHeight="1">
      <c r="A3" s="29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5" spans="1:26" ht="16.5" customHeight="1">
      <c r="B5" s="26" t="s">
        <v>18</v>
      </c>
      <c r="C5" s="27"/>
      <c r="D5" s="28"/>
    </row>
    <row r="6" spans="1:26" s="5" customFormat="1" ht="44.25" customHeight="1">
      <c r="B6" s="7" t="s">
        <v>3</v>
      </c>
      <c r="C6" s="7" t="s">
        <v>1</v>
      </c>
      <c r="D6" s="7" t="s">
        <v>2</v>
      </c>
      <c r="F6" s="31" t="s">
        <v>14</v>
      </c>
      <c r="G6" s="32"/>
      <c r="H6" s="31" t="s">
        <v>15</v>
      </c>
      <c r="I6" s="32"/>
      <c r="J6" s="31" t="s">
        <v>16</v>
      </c>
      <c r="K6" s="32"/>
      <c r="M6" s="8" t="s">
        <v>0</v>
      </c>
      <c r="N6" s="9" t="s">
        <v>7</v>
      </c>
      <c r="O6" s="9" t="s">
        <v>8</v>
      </c>
      <c r="P6" s="9" t="s">
        <v>9</v>
      </c>
      <c r="Q6" s="9" t="s">
        <v>1</v>
      </c>
      <c r="R6" s="9" t="s">
        <v>2</v>
      </c>
      <c r="S6" s="8" t="s">
        <v>4</v>
      </c>
      <c r="T6" s="9" t="s">
        <v>31</v>
      </c>
      <c r="U6" s="1"/>
      <c r="V6" s="1"/>
      <c r="W6" s="1"/>
      <c r="X6" s="1"/>
      <c r="Y6" s="1"/>
      <c r="Z6" s="1"/>
    </row>
    <row r="7" spans="1:26" ht="16.5" customHeight="1">
      <c r="B7" s="4">
        <v>1</v>
      </c>
      <c r="C7" s="2">
        <v>4</v>
      </c>
      <c r="D7" s="2">
        <v>12</v>
      </c>
      <c r="F7" s="14" t="s">
        <v>1</v>
      </c>
      <c r="G7" s="14" t="s">
        <v>2</v>
      </c>
      <c r="H7" s="14" t="s">
        <v>1</v>
      </c>
      <c r="I7" s="4" t="s">
        <v>2</v>
      </c>
      <c r="J7" s="4" t="s">
        <v>1</v>
      </c>
      <c r="K7" s="4" t="s">
        <v>2</v>
      </c>
      <c r="M7" s="4">
        <v>1</v>
      </c>
      <c r="N7" s="2">
        <f>SQRT(($I$11-$F$8)^2+($J$11-$G$8)^2)</f>
        <v>8.4212021738619587</v>
      </c>
      <c r="O7" s="2">
        <f>SQRT(($I$11-$H$8)^2+($J$11-$I$8)^2)</f>
        <v>1.585811133975914</v>
      </c>
      <c r="P7" s="6">
        <f>SQRT(($I$11-$J$8)^2+($J$11-$K$8)^2)</f>
        <v>6.3696124186667458</v>
      </c>
      <c r="Q7" s="1">
        <f>I11</f>
        <v>4</v>
      </c>
      <c r="R7" s="1">
        <f>J11</f>
        <v>12</v>
      </c>
      <c r="S7" s="2" t="str">
        <f>IF(MIN(N7:P7)=N7,"Cluster1",IF(MIN(N7:P7)=O7,"Cluster2","Cluster3"))</f>
        <v>Cluster2</v>
      </c>
      <c r="T7" s="10">
        <f>MIN(N7:P7)</f>
        <v>1.585811133975914</v>
      </c>
    </row>
    <row r="8" spans="1:26" ht="16.5" customHeight="1">
      <c r="B8" s="4">
        <v>2</v>
      </c>
      <c r="C8" s="2">
        <v>5</v>
      </c>
      <c r="D8" s="2">
        <v>10</v>
      </c>
      <c r="F8" s="2">
        <v>5.2181555319094146</v>
      </c>
      <c r="G8" s="2">
        <v>3.6673687737224392</v>
      </c>
      <c r="H8" s="2">
        <v>3.6153855881635044</v>
      </c>
      <c r="I8" s="10">
        <v>10.461536901043889</v>
      </c>
      <c r="J8" s="2">
        <v>9.4784179976858223</v>
      </c>
      <c r="K8" s="2">
        <v>8.7505541077491849</v>
      </c>
      <c r="M8" s="4">
        <v>2</v>
      </c>
      <c r="N8" s="2">
        <f t="dataTable" ref="N8:S20" dt2D="0" dtr="0" r1="G11"/>
        <v>6.3363877788633118</v>
      </c>
      <c r="O8" s="2">
        <v>1.4595113499012335</v>
      </c>
      <c r="P8" s="2">
        <v>4.6494454292591421</v>
      </c>
      <c r="Q8" s="2">
        <v>5</v>
      </c>
      <c r="R8" s="2">
        <v>10</v>
      </c>
      <c r="S8" s="2" t="str">
        <v>Cluster2</v>
      </c>
      <c r="T8" s="10">
        <f t="shared" ref="T8:T20" si="0">MIN(N8:P8)</f>
        <v>1.4595113499012335</v>
      </c>
    </row>
    <row r="9" spans="1:26" ht="16.5" customHeight="1">
      <c r="B9" s="4">
        <v>3</v>
      </c>
      <c r="C9" s="2">
        <v>8</v>
      </c>
      <c r="D9" s="2">
        <v>7</v>
      </c>
      <c r="M9" s="4">
        <v>3</v>
      </c>
      <c r="N9" s="2">
        <v>4.3410931267373742</v>
      </c>
      <c r="O9" s="2">
        <v>5.5863298557973486</v>
      </c>
      <c r="P9" s="2">
        <v>2.2913226442469643</v>
      </c>
      <c r="Q9" s="2">
        <v>8</v>
      </c>
      <c r="R9" s="2">
        <v>7</v>
      </c>
      <c r="S9" s="2" t="str">
        <v>Cluster3</v>
      </c>
      <c r="T9" s="10">
        <f t="shared" si="0"/>
        <v>2.2913226442469643</v>
      </c>
    </row>
    <row r="10" spans="1:26" ht="16.5" customHeight="1">
      <c r="B10" s="4">
        <v>4</v>
      </c>
      <c r="C10" s="2">
        <v>5</v>
      </c>
      <c r="D10" s="2">
        <v>3</v>
      </c>
      <c r="G10" s="24" t="s">
        <v>17</v>
      </c>
      <c r="H10" s="24"/>
      <c r="I10" s="3" t="s">
        <v>1</v>
      </c>
      <c r="J10" s="20" t="s">
        <v>2</v>
      </c>
      <c r="M10" s="4">
        <v>4</v>
      </c>
      <c r="N10" s="2">
        <v>0.70212030040618523</v>
      </c>
      <c r="O10" s="2">
        <v>7.5889188950142943</v>
      </c>
      <c r="P10" s="2">
        <v>7.2886967496355144</v>
      </c>
      <c r="Q10" s="2">
        <v>5</v>
      </c>
      <c r="R10" s="2">
        <v>3</v>
      </c>
      <c r="S10" s="2" t="str">
        <v>Cluster1</v>
      </c>
      <c r="T10" s="10">
        <f t="shared" si="0"/>
        <v>0.70212030040618523</v>
      </c>
    </row>
    <row r="11" spans="1:26" ht="16.5" customHeight="1">
      <c r="B11" s="4">
        <v>5</v>
      </c>
      <c r="C11" s="2">
        <v>5</v>
      </c>
      <c r="D11" s="2">
        <v>4</v>
      </c>
      <c r="G11" s="25">
        <v>1</v>
      </c>
      <c r="H11" s="25"/>
      <c r="I11" s="2">
        <f>INDEX(C7:C20,$G$11,1)</f>
        <v>4</v>
      </c>
      <c r="J11" s="10">
        <f>INDEX(D7:D20,$G$11,1)</f>
        <v>12</v>
      </c>
      <c r="M11" s="4">
        <v>5</v>
      </c>
      <c r="N11" s="2">
        <v>0.39778809534423409</v>
      </c>
      <c r="O11" s="2">
        <v>6.6082233764467428</v>
      </c>
      <c r="P11" s="2">
        <v>6.5287052386096391</v>
      </c>
      <c r="Q11" s="2">
        <v>5</v>
      </c>
      <c r="R11" s="2">
        <v>4</v>
      </c>
      <c r="S11" s="2" t="str">
        <v>Cluster1</v>
      </c>
      <c r="T11" s="10">
        <f t="shared" si="0"/>
        <v>0.39778809534423409</v>
      </c>
    </row>
    <row r="12" spans="1:26" ht="16.5" customHeight="1">
      <c r="B12" s="4">
        <v>6</v>
      </c>
      <c r="C12" s="2">
        <v>2</v>
      </c>
      <c r="D12" s="2">
        <v>11</v>
      </c>
      <c r="M12" s="4">
        <v>6</v>
      </c>
      <c r="N12" s="2">
        <v>8.0077466073883699</v>
      </c>
      <c r="O12" s="2">
        <v>1.7027663102680208</v>
      </c>
      <c r="P12" s="2">
        <v>7.8094009098185815</v>
      </c>
      <c r="Q12" s="2">
        <v>2</v>
      </c>
      <c r="R12" s="2">
        <v>11</v>
      </c>
      <c r="S12" s="2" t="str">
        <v>Cluster2</v>
      </c>
      <c r="T12" s="10">
        <f t="shared" si="0"/>
        <v>1.7027663102680208</v>
      </c>
    </row>
    <row r="13" spans="1:26" ht="16.5" customHeight="1">
      <c r="B13" s="4">
        <v>7</v>
      </c>
      <c r="C13" s="2">
        <v>5</v>
      </c>
      <c r="D13" s="2">
        <v>4</v>
      </c>
      <c r="F13" s="23" t="s">
        <v>30</v>
      </c>
      <c r="G13" s="23"/>
      <c r="H13" s="23"/>
      <c r="I13" s="23"/>
      <c r="J13" s="23"/>
      <c r="K13" s="23"/>
      <c r="M13" s="4">
        <v>7</v>
      </c>
      <c r="N13" s="2">
        <v>0.39778809534423409</v>
      </c>
      <c r="O13" s="2">
        <v>6.6082233764467428</v>
      </c>
      <c r="P13" s="2">
        <v>6.5287052386096391</v>
      </c>
      <c r="Q13" s="2">
        <v>5</v>
      </c>
      <c r="R13" s="2">
        <v>4</v>
      </c>
      <c r="S13" s="2" t="str">
        <v>Cluster1</v>
      </c>
      <c r="T13" s="10">
        <f t="shared" si="0"/>
        <v>0.39778809534423409</v>
      </c>
    </row>
    <row r="14" spans="1:26" ht="16.5" customHeight="1">
      <c r="B14" s="4">
        <v>8</v>
      </c>
      <c r="C14" s="2">
        <v>3</v>
      </c>
      <c r="D14" s="2">
        <v>8</v>
      </c>
      <c r="M14" s="4">
        <v>8</v>
      </c>
      <c r="N14" s="2">
        <v>4.8674333386966628</v>
      </c>
      <c r="O14" s="2">
        <v>2.5372944916426423</v>
      </c>
      <c r="P14" s="2">
        <v>6.5217506255144988</v>
      </c>
      <c r="Q14" s="2">
        <v>3</v>
      </c>
      <c r="R14" s="2">
        <v>8</v>
      </c>
      <c r="S14" s="2" t="str">
        <v>Cluster2</v>
      </c>
      <c r="T14" s="10">
        <f t="shared" si="0"/>
        <v>2.5372944916426423</v>
      </c>
    </row>
    <row r="15" spans="1:26" ht="16.5" customHeight="1">
      <c r="B15" s="4">
        <v>9</v>
      </c>
      <c r="C15" s="2">
        <v>6</v>
      </c>
      <c r="D15" s="2">
        <v>2</v>
      </c>
      <c r="M15" s="4">
        <v>9</v>
      </c>
      <c r="N15" s="2">
        <v>1.8415752495807824</v>
      </c>
      <c r="O15" s="2">
        <v>8.7911314755761527</v>
      </c>
      <c r="P15" s="2">
        <v>7.5940353257193927</v>
      </c>
      <c r="Q15" s="2">
        <v>6</v>
      </c>
      <c r="R15" s="2">
        <v>2</v>
      </c>
      <c r="S15" s="2" t="str">
        <v>Cluster1</v>
      </c>
      <c r="T15" s="10">
        <f t="shared" si="0"/>
        <v>1.8415752495807824</v>
      </c>
    </row>
    <row r="16" spans="1:26" ht="16.5" customHeight="1">
      <c r="B16" s="4">
        <v>10</v>
      </c>
      <c r="C16" s="2">
        <v>7</v>
      </c>
      <c r="D16" s="2">
        <v>4</v>
      </c>
      <c r="J16" s="1" t="s">
        <v>6</v>
      </c>
      <c r="M16" s="4">
        <v>10</v>
      </c>
      <c r="N16" s="2">
        <v>1.8126260621429715</v>
      </c>
      <c r="O16" s="2">
        <v>7.2943179146759967</v>
      </c>
      <c r="P16" s="2">
        <v>5.3582012002075521</v>
      </c>
      <c r="Q16" s="2">
        <v>7</v>
      </c>
      <c r="R16" s="2">
        <v>4</v>
      </c>
      <c r="S16" s="2" t="str">
        <v>Cluster1</v>
      </c>
      <c r="T16" s="10">
        <f t="shared" si="0"/>
        <v>1.8126260621429715</v>
      </c>
    </row>
    <row r="17" spans="2:20" ht="16.5" customHeight="1">
      <c r="B17" s="4">
        <v>11</v>
      </c>
      <c r="C17" s="2">
        <v>10</v>
      </c>
      <c r="D17" s="2">
        <v>8</v>
      </c>
      <c r="M17" s="4">
        <v>11</v>
      </c>
      <c r="N17" s="2">
        <v>6.4527304189717967</v>
      </c>
      <c r="O17" s="2">
        <v>6.8426942868311045</v>
      </c>
      <c r="P17" s="2">
        <v>0.913990839011662</v>
      </c>
      <c r="Q17" s="2">
        <v>10</v>
      </c>
      <c r="R17" s="2">
        <v>8</v>
      </c>
      <c r="S17" s="2" t="str">
        <v>Cluster3</v>
      </c>
      <c r="T17" s="10">
        <f t="shared" si="0"/>
        <v>0.913990839011662</v>
      </c>
    </row>
    <row r="18" spans="2:20" ht="16.5" customHeight="1">
      <c r="B18" s="4">
        <v>12</v>
      </c>
      <c r="C18" s="2">
        <v>8</v>
      </c>
      <c r="D18" s="2">
        <v>9</v>
      </c>
      <c r="M18" s="4">
        <v>12</v>
      </c>
      <c r="N18" s="2">
        <v>6.0146167326037254</v>
      </c>
      <c r="O18" s="2">
        <v>4.62178901006929</v>
      </c>
      <c r="P18" s="2">
        <v>1.4993141862338797</v>
      </c>
      <c r="Q18" s="2">
        <v>8</v>
      </c>
      <c r="R18" s="2">
        <v>9</v>
      </c>
      <c r="S18" s="2" t="str">
        <v>Cluster3</v>
      </c>
      <c r="T18" s="10">
        <f t="shared" si="0"/>
        <v>1.4993141862338797</v>
      </c>
    </row>
    <row r="19" spans="2:20" ht="16.5" customHeight="1">
      <c r="B19" s="4">
        <v>13</v>
      </c>
      <c r="C19" s="2">
        <v>10</v>
      </c>
      <c r="D19" s="2">
        <v>9</v>
      </c>
      <c r="M19" s="4">
        <v>13</v>
      </c>
      <c r="N19" s="2">
        <v>7.1626107190380699</v>
      </c>
      <c r="O19" s="2">
        <v>6.5497626904295743</v>
      </c>
      <c r="P19" s="2">
        <v>0.57816177519693579</v>
      </c>
      <c r="Q19" s="2">
        <v>10</v>
      </c>
      <c r="R19" s="2">
        <v>9</v>
      </c>
      <c r="S19" s="2" t="str">
        <v>Cluster3</v>
      </c>
      <c r="T19" s="10">
        <f t="shared" si="0"/>
        <v>0.57816177519693579</v>
      </c>
    </row>
    <row r="20" spans="2:20" ht="16.5" customHeight="1">
      <c r="B20" s="4">
        <v>14</v>
      </c>
      <c r="C20" s="2">
        <v>10</v>
      </c>
      <c r="D20" s="2">
        <v>12</v>
      </c>
      <c r="M20" s="4">
        <v>14</v>
      </c>
      <c r="N20" s="2">
        <v>9.607225388744892</v>
      </c>
      <c r="O20" s="2">
        <v>6.5673563855390036</v>
      </c>
      <c r="P20" s="2">
        <v>3.2910403205983005</v>
      </c>
      <c r="Q20" s="2">
        <v>10</v>
      </c>
      <c r="R20" s="2">
        <v>12</v>
      </c>
      <c r="S20" s="2" t="str">
        <v>Cluster3</v>
      </c>
      <c r="T20" s="10">
        <f t="shared" si="0"/>
        <v>3.2910403205983005</v>
      </c>
    </row>
    <row r="21" spans="2:20" ht="46.5" customHeight="1">
      <c r="S21" s="21" t="s">
        <v>32</v>
      </c>
      <c r="T21" s="22">
        <f>SUM(T7:T20)</f>
        <v>21.01111085389396</v>
      </c>
    </row>
  </sheetData>
  <mergeCells count="8">
    <mergeCell ref="F13:K13"/>
    <mergeCell ref="G10:H10"/>
    <mergeCell ref="G11:H11"/>
    <mergeCell ref="B5:D5"/>
    <mergeCell ref="A2:W3"/>
    <mergeCell ref="F6:G6"/>
    <mergeCell ref="H6:I6"/>
    <mergeCell ref="J6:K6"/>
  </mergeCells>
  <conditionalFormatting sqref="S7:S20">
    <cfRule type="containsText" dxfId="4" priority="1" operator="containsText" text="Cluster2">
      <formula>NOT(ISERROR(SEARCH("Cluster2",S7)))</formula>
    </cfRule>
    <cfRule type="containsText" dxfId="3" priority="2" operator="containsText" text="Cluster1">
      <formula>NOT(ISERROR(SEARCH("Cluster1",S7)))</formula>
    </cfRule>
    <cfRule type="containsText" dxfId="2" priority="4" operator="containsText" text="Class2">
      <formula>NOT(ISERROR(SEARCH("Class2",S7)))</formula>
    </cfRule>
    <cfRule type="cellIs" dxfId="1" priority="5" operator="equal">
      <formula>"""Class1"""</formula>
    </cfRule>
    <cfRule type="containsText" dxfId="0" priority="6" operator="containsText" text="Class1">
      <formula>NOT(ISERROR(SEARCH("Class1",S7)))</formula>
    </cfRule>
    <cfRule type="dataBar" priority="7">
      <dataBar>
        <cfvo type="min" val="0"/>
        <cfvo type="max" val="0"/>
        <color rgb="FF638EC6"/>
      </dataBar>
    </cfRule>
  </conditionalFormatting>
  <conditionalFormatting sqref="N7:P20">
    <cfRule type="dataBar" priority="3">
      <dataBar>
        <cfvo type="min" val="0"/>
        <cfvo type="max" val="0"/>
        <color rgb="FF638EC6"/>
      </dataBar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2:AC38"/>
  <sheetViews>
    <sheetView topLeftCell="A2" workbookViewId="0">
      <selection activeCell="H7" sqref="H7:J7"/>
    </sheetView>
  </sheetViews>
  <sheetFormatPr defaultRowHeight="16.5" customHeight="1"/>
  <cols>
    <col min="1" max="1" width="7.140625" style="1" customWidth="1"/>
    <col min="2" max="2" width="7" style="1" customWidth="1"/>
    <col min="3" max="4" width="9.140625" style="1"/>
    <col min="5" max="5" width="8.140625" style="1" customWidth="1"/>
    <col min="6" max="6" width="9.140625" style="1"/>
    <col min="7" max="7" width="11.85546875" style="1" customWidth="1"/>
    <col min="8" max="8" width="11" style="1" customWidth="1"/>
    <col min="9" max="9" width="12.28515625" style="1" customWidth="1"/>
    <col min="10" max="10" width="11" style="1" customWidth="1"/>
    <col min="11" max="11" width="12.140625" style="1" customWidth="1"/>
    <col min="12" max="12" width="11" style="1" customWidth="1"/>
    <col min="13" max="13" width="8.140625" style="1" customWidth="1"/>
    <col min="14" max="14" width="6.5703125" style="1" customWidth="1"/>
    <col min="15" max="15" width="12" style="1" bestFit="1" customWidth="1"/>
    <col min="16" max="16" width="12.28515625" style="1" bestFit="1" customWidth="1"/>
    <col min="17" max="17" width="12.28515625" style="1" customWidth="1"/>
    <col min="18" max="19" width="3" style="1" customWidth="1"/>
    <col min="20" max="20" width="10.140625" style="1" customWidth="1"/>
    <col min="21" max="21" width="9.85546875" style="1" customWidth="1"/>
    <col min="22" max="22" width="21" style="1" customWidth="1"/>
    <col min="23" max="23" width="20.42578125" style="1" customWidth="1"/>
    <col min="24" max="24" width="24" style="1" customWidth="1"/>
    <col min="25" max="25" width="21.28515625" style="1" customWidth="1"/>
    <col min="26" max="27" width="17.7109375" style="1" bestFit="1" customWidth="1"/>
    <col min="28" max="16384" width="9.140625" style="1"/>
  </cols>
  <sheetData>
    <row r="2" spans="1:27" ht="16.5" customHeight="1">
      <c r="A2" s="36" t="s">
        <v>11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</row>
    <row r="3" spans="1:27" ht="16.5" customHeight="1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</row>
    <row r="5" spans="1:27" ht="16.5" customHeight="1">
      <c r="C5" s="38" t="s">
        <v>18</v>
      </c>
      <c r="D5" s="38"/>
      <c r="E5" s="38"/>
    </row>
    <row r="6" spans="1:27" s="5" customFormat="1" ht="36.75" customHeight="1">
      <c r="C6" s="8" t="s">
        <v>3</v>
      </c>
      <c r="D6" s="8" t="s">
        <v>1</v>
      </c>
      <c r="E6" s="8" t="s">
        <v>2</v>
      </c>
      <c r="H6" s="15" t="s">
        <v>5</v>
      </c>
      <c r="I6" s="15" t="s">
        <v>13</v>
      </c>
      <c r="J6" s="15" t="s">
        <v>12</v>
      </c>
      <c r="K6" s="1"/>
      <c r="L6" s="1"/>
      <c r="N6" s="8" t="s">
        <v>0</v>
      </c>
      <c r="O6" s="9" t="s">
        <v>7</v>
      </c>
      <c r="P6" s="9" t="s">
        <v>8</v>
      </c>
      <c r="Q6" s="9" t="s">
        <v>9</v>
      </c>
      <c r="R6" s="9" t="s">
        <v>1</v>
      </c>
      <c r="S6" s="9" t="s">
        <v>2</v>
      </c>
      <c r="T6" s="8" t="s">
        <v>4</v>
      </c>
      <c r="V6" s="19" t="s">
        <v>24</v>
      </c>
      <c r="W6" s="19" t="s">
        <v>19</v>
      </c>
      <c r="X6" s="19" t="s">
        <v>20</v>
      </c>
      <c r="Y6" s="19" t="s">
        <v>21</v>
      </c>
      <c r="Z6" s="19" t="s">
        <v>22</v>
      </c>
      <c r="AA6" s="19" t="s">
        <v>23</v>
      </c>
    </row>
    <row r="7" spans="1:27" ht="16.5" customHeight="1">
      <c r="C7" s="4">
        <v>1</v>
      </c>
      <c r="D7" s="2">
        <v>3</v>
      </c>
      <c r="E7" s="2">
        <v>13</v>
      </c>
      <c r="H7" s="10">
        <v>13</v>
      </c>
      <c r="I7" s="10">
        <v>6</v>
      </c>
      <c r="J7" s="10">
        <v>4</v>
      </c>
      <c r="L7" s="16"/>
      <c r="N7" s="4">
        <v>1</v>
      </c>
      <c r="O7" s="2">
        <f>SQRT(($J$14-$G$11)^2+($K$14-$H$11)^2)</f>
        <v>8.0622577482985491</v>
      </c>
      <c r="P7" s="2">
        <f>SQRT(($J$14-$I$11)^2+($K$14-$J$11)^2)</f>
        <v>2.2360679774997898</v>
      </c>
      <c r="Q7" s="6">
        <f>SQRT(($J$14-$K$11)^2+($K$14-$L$11)^2)</f>
        <v>11.180339887498949</v>
      </c>
      <c r="R7" s="1">
        <f>J14</f>
        <v>3</v>
      </c>
      <c r="S7" s="1">
        <f>K14</f>
        <v>13</v>
      </c>
      <c r="T7" s="2" t="str">
        <f>IF(SMALL(O7:Q7,1)=O7,"Cluster1",IF(SMALL(O7:Q7,1)=P7,"Cluster2","Cluster3"))</f>
        <v>Cluster2</v>
      </c>
      <c r="V7" s="2">
        <f>IF(T7="Cluster1",R7,0)</f>
        <v>0</v>
      </c>
      <c r="W7" s="2">
        <f>IF(T7="Cluster1",S7,0)</f>
        <v>0</v>
      </c>
      <c r="X7" s="2">
        <f>IF(T7="Cluster2",R7,0)</f>
        <v>3</v>
      </c>
      <c r="Y7" s="2">
        <f>IF(T7="Cluster2",S7,0)</f>
        <v>13</v>
      </c>
      <c r="Z7" s="2">
        <f>IF($T7="Cluster3",R7,0)</f>
        <v>0</v>
      </c>
      <c r="AA7" s="2">
        <f>IF($T7="Cluster3",S7,0)</f>
        <v>0</v>
      </c>
    </row>
    <row r="8" spans="1:27" ht="16.5" customHeight="1">
      <c r="C8" s="4">
        <v>2</v>
      </c>
      <c r="D8" s="2">
        <v>3</v>
      </c>
      <c r="E8" s="2">
        <v>10</v>
      </c>
      <c r="N8" s="4">
        <v>2</v>
      </c>
      <c r="O8" s="2">
        <f t="dataTable" ref="O8:T20" dt2D="0" dtr="0" r1="H14"/>
        <v>7.0710678118654755</v>
      </c>
      <c r="P8" s="2">
        <v>1.4142135623730951</v>
      </c>
      <c r="Q8" s="2">
        <v>8.2462112512353212</v>
      </c>
      <c r="R8" s="2">
        <v>3</v>
      </c>
      <c r="S8" s="2">
        <v>10</v>
      </c>
      <c r="T8" s="2" t="str">
        <v>Cluster2</v>
      </c>
      <c r="V8" s="10">
        <f t="shared" ref="V8:V20" si="0">IF(T8="Cluster1",R8,0)</f>
        <v>0</v>
      </c>
      <c r="W8" s="10">
        <f t="shared" ref="W8:W20" si="1">IF(T8="Cluster1",S8,0)</f>
        <v>0</v>
      </c>
      <c r="X8" s="10">
        <f t="shared" ref="X8:X20" si="2">IF(T8="Cluster2",R8,0)</f>
        <v>3</v>
      </c>
      <c r="Y8" s="10">
        <f t="shared" ref="Y8:Y20" si="3">IF(T8="Cluster2",S8,0)</f>
        <v>10</v>
      </c>
      <c r="Z8" s="10">
        <f t="shared" ref="Z8:Z20" si="4">IF($T8="Cluster3",R8,0)</f>
        <v>0</v>
      </c>
      <c r="AA8" s="10">
        <f t="shared" ref="AA8:AA20" si="5">IF($T8="Cluster3",S8,0)</f>
        <v>0</v>
      </c>
    </row>
    <row r="9" spans="1:27" ht="16.5" customHeight="1">
      <c r="C9" s="4">
        <v>3</v>
      </c>
      <c r="D9" s="2">
        <v>8</v>
      </c>
      <c r="E9" s="2">
        <v>7</v>
      </c>
      <c r="G9" s="37" t="s">
        <v>14</v>
      </c>
      <c r="H9" s="37"/>
      <c r="I9" s="37" t="s">
        <v>15</v>
      </c>
      <c r="J9" s="37"/>
      <c r="K9" s="37" t="s">
        <v>16</v>
      </c>
      <c r="L9" s="37"/>
      <c r="N9" s="4">
        <v>3</v>
      </c>
      <c r="O9" s="2">
        <v>2.8284271247461903</v>
      </c>
      <c r="P9" s="2">
        <v>7.2111025509279782</v>
      </c>
      <c r="Q9" s="2">
        <v>5.8309518948453007</v>
      </c>
      <c r="R9" s="2">
        <v>8</v>
      </c>
      <c r="S9" s="2">
        <v>7</v>
      </c>
      <c r="T9" s="2" t="str">
        <v>Cluster1</v>
      </c>
      <c r="V9" s="10">
        <f t="shared" si="0"/>
        <v>8</v>
      </c>
      <c r="W9" s="10">
        <f t="shared" si="1"/>
        <v>7</v>
      </c>
      <c r="X9" s="10">
        <f t="shared" si="2"/>
        <v>0</v>
      </c>
      <c r="Y9" s="10">
        <f t="shared" si="3"/>
        <v>0</v>
      </c>
      <c r="Z9" s="10">
        <f t="shared" si="4"/>
        <v>0</v>
      </c>
      <c r="AA9" s="10">
        <f t="shared" si="5"/>
        <v>0</v>
      </c>
    </row>
    <row r="10" spans="1:27" ht="16.5" customHeight="1">
      <c r="C10" s="4">
        <v>4</v>
      </c>
      <c r="D10" s="2">
        <v>5</v>
      </c>
      <c r="E10" s="2">
        <v>2</v>
      </c>
      <c r="G10" s="13" t="s">
        <v>1</v>
      </c>
      <c r="H10" s="13" t="s">
        <v>2</v>
      </c>
      <c r="I10" s="13" t="s">
        <v>1</v>
      </c>
      <c r="J10" s="13" t="s">
        <v>2</v>
      </c>
      <c r="K10" s="13" t="s">
        <v>1</v>
      </c>
      <c r="L10" s="13" t="s">
        <v>2</v>
      </c>
      <c r="N10" s="4">
        <v>4</v>
      </c>
      <c r="O10" s="2">
        <v>8.6023252670426267</v>
      </c>
      <c r="P10" s="2">
        <v>9.4868329805051381</v>
      </c>
      <c r="Q10" s="2">
        <v>0</v>
      </c>
      <c r="R10" s="2">
        <v>5</v>
      </c>
      <c r="S10" s="2">
        <v>2</v>
      </c>
      <c r="T10" s="2" t="str">
        <v>Cluster3</v>
      </c>
      <c r="V10" s="10">
        <f t="shared" si="0"/>
        <v>0</v>
      </c>
      <c r="W10" s="10">
        <f t="shared" si="1"/>
        <v>0</v>
      </c>
      <c r="X10" s="10">
        <f t="shared" si="2"/>
        <v>0</v>
      </c>
      <c r="Y10" s="10">
        <f t="shared" si="3"/>
        <v>0</v>
      </c>
      <c r="Z10" s="10">
        <f t="shared" si="4"/>
        <v>5</v>
      </c>
      <c r="AA10" s="10">
        <f t="shared" si="5"/>
        <v>2</v>
      </c>
    </row>
    <row r="11" spans="1:27" ht="16.5" customHeight="1">
      <c r="C11" s="4">
        <v>5</v>
      </c>
      <c r="D11" s="2">
        <v>5</v>
      </c>
      <c r="E11" s="2">
        <v>4</v>
      </c>
      <c r="G11" s="2">
        <f>INDEX($D$7:$D$20,H7,1)</f>
        <v>10</v>
      </c>
      <c r="H11" s="2">
        <f>INDEX($E$7:$E$20,H7,1)</f>
        <v>9</v>
      </c>
      <c r="I11" s="2">
        <f>INDEX($D$7:$D$20,I7,1)</f>
        <v>2</v>
      </c>
      <c r="J11" s="2">
        <f>INDEX($E$7:$E$20,I7,1)</f>
        <v>11</v>
      </c>
      <c r="K11" s="2">
        <f>INDEX($D$7:$D$20,J7,1)</f>
        <v>5</v>
      </c>
      <c r="L11" s="2">
        <f>INDEX($E$7:$E$20,J7,1)</f>
        <v>2</v>
      </c>
      <c r="N11" s="4">
        <v>5</v>
      </c>
      <c r="O11" s="2">
        <v>7.0710678118654755</v>
      </c>
      <c r="P11" s="2">
        <v>7.6157731058639087</v>
      </c>
      <c r="Q11" s="2">
        <v>2</v>
      </c>
      <c r="R11" s="2">
        <v>5</v>
      </c>
      <c r="S11" s="2">
        <v>4</v>
      </c>
      <c r="T11" s="2" t="str">
        <v>Cluster3</v>
      </c>
      <c r="V11" s="10">
        <f t="shared" si="0"/>
        <v>0</v>
      </c>
      <c r="W11" s="10">
        <f t="shared" si="1"/>
        <v>0</v>
      </c>
      <c r="X11" s="10">
        <f t="shared" si="2"/>
        <v>0</v>
      </c>
      <c r="Y11" s="10">
        <f t="shared" si="3"/>
        <v>0</v>
      </c>
      <c r="Z11" s="10">
        <f t="shared" si="4"/>
        <v>5</v>
      </c>
      <c r="AA11" s="10">
        <f t="shared" si="5"/>
        <v>4</v>
      </c>
    </row>
    <row r="12" spans="1:27" ht="16.5" customHeight="1">
      <c r="C12" s="4">
        <v>6</v>
      </c>
      <c r="D12" s="2">
        <v>2</v>
      </c>
      <c r="E12" s="2">
        <v>11</v>
      </c>
      <c r="N12" s="4">
        <v>6</v>
      </c>
      <c r="O12" s="2">
        <v>8.2462112512353212</v>
      </c>
      <c r="P12" s="2">
        <v>0</v>
      </c>
      <c r="Q12" s="2">
        <v>9.4868329805051381</v>
      </c>
      <c r="R12" s="2">
        <v>2</v>
      </c>
      <c r="S12" s="2">
        <v>11</v>
      </c>
      <c r="T12" s="2" t="str">
        <v>Cluster2</v>
      </c>
      <c r="V12" s="10">
        <f t="shared" si="0"/>
        <v>0</v>
      </c>
      <c r="W12" s="10">
        <f t="shared" si="1"/>
        <v>0</v>
      </c>
      <c r="X12" s="10">
        <f t="shared" si="2"/>
        <v>2</v>
      </c>
      <c r="Y12" s="10">
        <f t="shared" si="3"/>
        <v>11</v>
      </c>
      <c r="Z12" s="10">
        <f t="shared" si="4"/>
        <v>0</v>
      </c>
      <c r="AA12" s="10">
        <f t="shared" si="5"/>
        <v>0</v>
      </c>
    </row>
    <row r="13" spans="1:27" ht="16.5" customHeight="1">
      <c r="C13" s="4">
        <v>7</v>
      </c>
      <c r="D13" s="2">
        <v>5</v>
      </c>
      <c r="E13" s="2">
        <v>4</v>
      </c>
      <c r="H13" s="24" t="s">
        <v>5</v>
      </c>
      <c r="I13" s="24"/>
      <c r="J13" s="3" t="s">
        <v>1</v>
      </c>
      <c r="K13" s="3" t="s">
        <v>2</v>
      </c>
      <c r="N13" s="4">
        <v>7</v>
      </c>
      <c r="O13" s="2">
        <v>7.0710678118654755</v>
      </c>
      <c r="P13" s="2">
        <v>7.6157731058639087</v>
      </c>
      <c r="Q13" s="2">
        <v>2</v>
      </c>
      <c r="R13" s="2">
        <v>5</v>
      </c>
      <c r="S13" s="2">
        <v>4</v>
      </c>
      <c r="T13" s="2" t="str">
        <v>Cluster3</v>
      </c>
      <c r="V13" s="10">
        <f t="shared" si="0"/>
        <v>0</v>
      </c>
      <c r="W13" s="10">
        <f t="shared" si="1"/>
        <v>0</v>
      </c>
      <c r="X13" s="10">
        <f t="shared" si="2"/>
        <v>0</v>
      </c>
      <c r="Y13" s="10">
        <f t="shared" si="3"/>
        <v>0</v>
      </c>
      <c r="Z13" s="10">
        <f t="shared" si="4"/>
        <v>5</v>
      </c>
      <c r="AA13" s="10">
        <f t="shared" si="5"/>
        <v>4</v>
      </c>
    </row>
    <row r="14" spans="1:27" ht="16.5" customHeight="1">
      <c r="C14" s="4">
        <v>8</v>
      </c>
      <c r="D14" s="2">
        <v>2</v>
      </c>
      <c r="E14" s="2">
        <v>14</v>
      </c>
      <c r="H14" s="25">
        <v>1</v>
      </c>
      <c r="I14" s="25"/>
      <c r="J14" s="2">
        <f>INDEX(D7:D20,$H$14,1)</f>
        <v>3</v>
      </c>
      <c r="K14" s="2">
        <f>INDEX(E7:E20,$H$14,1)</f>
        <v>13</v>
      </c>
      <c r="N14" s="4">
        <v>8</v>
      </c>
      <c r="O14" s="2">
        <v>9.4339811320566032</v>
      </c>
      <c r="P14" s="2">
        <v>3</v>
      </c>
      <c r="Q14" s="2">
        <v>12.369316876852981</v>
      </c>
      <c r="R14" s="2">
        <v>2</v>
      </c>
      <c r="S14" s="2">
        <v>14</v>
      </c>
      <c r="T14" s="2" t="str">
        <v>Cluster2</v>
      </c>
      <c r="V14" s="10">
        <f t="shared" si="0"/>
        <v>0</v>
      </c>
      <c r="W14" s="10">
        <f t="shared" si="1"/>
        <v>0</v>
      </c>
      <c r="X14" s="10">
        <f t="shared" si="2"/>
        <v>2</v>
      </c>
      <c r="Y14" s="10">
        <f t="shared" si="3"/>
        <v>14</v>
      </c>
      <c r="Z14" s="10">
        <f t="shared" si="4"/>
        <v>0</v>
      </c>
      <c r="AA14" s="10">
        <f t="shared" si="5"/>
        <v>0</v>
      </c>
    </row>
    <row r="15" spans="1:27" ht="16.5" customHeight="1">
      <c r="C15" s="4">
        <v>9</v>
      </c>
      <c r="D15" s="2">
        <v>6</v>
      </c>
      <c r="E15" s="2">
        <v>2</v>
      </c>
      <c r="N15" s="4">
        <v>9</v>
      </c>
      <c r="O15" s="2">
        <v>8.0622577482985491</v>
      </c>
      <c r="P15" s="2">
        <v>9.8488578017961039</v>
      </c>
      <c r="Q15" s="2">
        <v>1</v>
      </c>
      <c r="R15" s="2">
        <v>6</v>
      </c>
      <c r="S15" s="2">
        <v>2</v>
      </c>
      <c r="T15" s="2" t="str">
        <v>Cluster3</v>
      </c>
      <c r="V15" s="10">
        <f t="shared" si="0"/>
        <v>0</v>
      </c>
      <c r="W15" s="10">
        <f t="shared" si="1"/>
        <v>0</v>
      </c>
      <c r="X15" s="10">
        <f t="shared" si="2"/>
        <v>0</v>
      </c>
      <c r="Y15" s="10">
        <f t="shared" si="3"/>
        <v>0</v>
      </c>
      <c r="Z15" s="10">
        <f t="shared" si="4"/>
        <v>6</v>
      </c>
      <c r="AA15" s="10">
        <f t="shared" si="5"/>
        <v>2</v>
      </c>
    </row>
    <row r="16" spans="1:27" ht="16.5" customHeight="1">
      <c r="C16" s="4">
        <v>10</v>
      </c>
      <c r="D16" s="2">
        <v>4</v>
      </c>
      <c r="E16" s="2">
        <v>2</v>
      </c>
      <c r="G16" s="33" t="s">
        <v>10</v>
      </c>
      <c r="H16" s="34"/>
      <c r="I16" s="34"/>
      <c r="J16" s="34"/>
      <c r="K16" s="34"/>
      <c r="L16" s="35"/>
      <c r="N16" s="4">
        <v>10</v>
      </c>
      <c r="O16" s="2">
        <v>9.2195444572928871</v>
      </c>
      <c r="P16" s="2">
        <v>9.2195444572928871</v>
      </c>
      <c r="Q16" s="2">
        <v>1</v>
      </c>
      <c r="R16" s="2">
        <v>4</v>
      </c>
      <c r="S16" s="2">
        <v>2</v>
      </c>
      <c r="T16" s="2" t="str">
        <v>Cluster3</v>
      </c>
      <c r="V16" s="10">
        <f t="shared" si="0"/>
        <v>0</v>
      </c>
      <c r="W16" s="10">
        <f t="shared" si="1"/>
        <v>0</v>
      </c>
      <c r="X16" s="10">
        <f t="shared" si="2"/>
        <v>0</v>
      </c>
      <c r="Y16" s="10">
        <f t="shared" si="3"/>
        <v>0</v>
      </c>
      <c r="Z16" s="10">
        <f t="shared" si="4"/>
        <v>4</v>
      </c>
      <c r="AA16" s="10">
        <f t="shared" si="5"/>
        <v>2</v>
      </c>
    </row>
    <row r="17" spans="3:27" ht="16.5" customHeight="1">
      <c r="C17" s="4">
        <v>11</v>
      </c>
      <c r="D17" s="2">
        <v>10</v>
      </c>
      <c r="E17" s="2">
        <v>8</v>
      </c>
      <c r="N17" s="4">
        <v>11</v>
      </c>
      <c r="O17" s="2">
        <v>1</v>
      </c>
      <c r="P17" s="2">
        <v>8.5440037453175304</v>
      </c>
      <c r="Q17" s="2">
        <v>7.810249675906654</v>
      </c>
      <c r="R17" s="2">
        <v>10</v>
      </c>
      <c r="S17" s="2">
        <v>8</v>
      </c>
      <c r="T17" s="2" t="str">
        <v>Cluster1</v>
      </c>
      <c r="V17" s="10">
        <f t="shared" si="0"/>
        <v>10</v>
      </c>
      <c r="W17" s="10">
        <f t="shared" si="1"/>
        <v>8</v>
      </c>
      <c r="X17" s="10">
        <f t="shared" si="2"/>
        <v>0</v>
      </c>
      <c r="Y17" s="10">
        <f t="shared" si="3"/>
        <v>0</v>
      </c>
      <c r="Z17" s="10">
        <f t="shared" si="4"/>
        <v>0</v>
      </c>
      <c r="AA17" s="10">
        <f t="shared" si="5"/>
        <v>0</v>
      </c>
    </row>
    <row r="18" spans="3:27" ht="16.5" customHeight="1">
      <c r="C18" s="4">
        <v>12</v>
      </c>
      <c r="D18" s="2">
        <v>8</v>
      </c>
      <c r="E18" s="2">
        <v>9</v>
      </c>
      <c r="N18" s="4">
        <v>12</v>
      </c>
      <c r="O18" s="2">
        <v>2</v>
      </c>
      <c r="P18" s="2">
        <v>6.324555320336759</v>
      </c>
      <c r="Q18" s="2">
        <v>7.6157731058639087</v>
      </c>
      <c r="R18" s="2">
        <v>8</v>
      </c>
      <c r="S18" s="2">
        <v>9</v>
      </c>
      <c r="T18" s="2" t="str">
        <v>Cluster1</v>
      </c>
      <c r="V18" s="10">
        <f t="shared" si="0"/>
        <v>8</v>
      </c>
      <c r="W18" s="10">
        <f t="shared" si="1"/>
        <v>9</v>
      </c>
      <c r="X18" s="10">
        <f t="shared" si="2"/>
        <v>0</v>
      </c>
      <c r="Y18" s="10">
        <f t="shared" si="3"/>
        <v>0</v>
      </c>
      <c r="Z18" s="10">
        <f t="shared" si="4"/>
        <v>0</v>
      </c>
      <c r="AA18" s="10">
        <f t="shared" si="5"/>
        <v>0</v>
      </c>
    </row>
    <row r="19" spans="3:27" ht="16.5" customHeight="1">
      <c r="C19" s="4">
        <v>13</v>
      </c>
      <c r="D19" s="2">
        <v>10</v>
      </c>
      <c r="E19" s="2">
        <v>9</v>
      </c>
      <c r="K19" s="1" t="s">
        <v>6</v>
      </c>
      <c r="N19" s="4">
        <v>13</v>
      </c>
      <c r="O19" s="2">
        <v>0</v>
      </c>
      <c r="P19" s="2">
        <v>8.2462112512353212</v>
      </c>
      <c r="Q19" s="2">
        <v>8.6023252670426267</v>
      </c>
      <c r="R19" s="2">
        <v>10</v>
      </c>
      <c r="S19" s="2">
        <v>9</v>
      </c>
      <c r="T19" s="2" t="str">
        <v>Cluster1</v>
      </c>
      <c r="V19" s="10">
        <f t="shared" si="0"/>
        <v>10</v>
      </c>
      <c r="W19" s="10">
        <f t="shared" si="1"/>
        <v>9</v>
      </c>
      <c r="X19" s="10">
        <f t="shared" si="2"/>
        <v>0</v>
      </c>
      <c r="Y19" s="10">
        <f t="shared" si="3"/>
        <v>0</v>
      </c>
      <c r="Z19" s="10">
        <f t="shared" si="4"/>
        <v>0</v>
      </c>
      <c r="AA19" s="10">
        <f t="shared" si="5"/>
        <v>0</v>
      </c>
    </row>
    <row r="20" spans="3:27" ht="16.5" customHeight="1">
      <c r="C20" s="4">
        <v>14</v>
      </c>
      <c r="D20" s="2">
        <v>10</v>
      </c>
      <c r="E20" s="2">
        <v>12</v>
      </c>
      <c r="N20" s="4">
        <v>14</v>
      </c>
      <c r="O20" s="2">
        <v>3</v>
      </c>
      <c r="P20" s="2">
        <v>8.0622577482985491</v>
      </c>
      <c r="Q20" s="2">
        <v>11.180339887498949</v>
      </c>
      <c r="R20" s="2">
        <v>10</v>
      </c>
      <c r="S20" s="2">
        <v>12</v>
      </c>
      <c r="T20" s="2" t="str">
        <v>Cluster1</v>
      </c>
      <c r="V20" s="10">
        <f t="shared" si="0"/>
        <v>10</v>
      </c>
      <c r="W20" s="10">
        <f t="shared" si="1"/>
        <v>12</v>
      </c>
      <c r="X20" s="10">
        <f t="shared" si="2"/>
        <v>0</v>
      </c>
      <c r="Y20" s="10">
        <f t="shared" si="3"/>
        <v>0</v>
      </c>
      <c r="Z20" s="10">
        <f t="shared" si="4"/>
        <v>0</v>
      </c>
      <c r="AA20" s="10">
        <f t="shared" si="5"/>
        <v>0</v>
      </c>
    </row>
    <row r="21" spans="3:27" ht="16.5" customHeight="1">
      <c r="V21" s="12">
        <f>IF(COUNTIF(V7:V20,0)&lt;14,SUM(V7:V20)/(14-COUNTIF(V7:V20,0)),0)</f>
        <v>9.1999999999999993</v>
      </c>
      <c r="W21" s="12">
        <f t="shared" ref="W21" si="6">IF(COUNTIF(W7:W20,0)&lt;14,SUM(W7:W20)/(14-COUNTIF(W7:W20,0)),0)</f>
        <v>9</v>
      </c>
      <c r="X21" s="12">
        <f>IF(COUNTIF(X7:X20,0)&lt;14,SUM(X7:X20)/(14-COUNTIF(X7:X20,0)),0)</f>
        <v>2.5</v>
      </c>
      <c r="Y21" s="12">
        <f t="shared" ref="Y21:AA21" si="7">IF(COUNTIF(Y7:Y20,0)&lt;14,SUM(Y7:Y20)/(14-COUNTIF(Y7:Y20,0)),0)</f>
        <v>12</v>
      </c>
      <c r="Z21" s="12">
        <f t="shared" si="7"/>
        <v>5</v>
      </c>
      <c r="AA21" s="12">
        <f t="shared" si="7"/>
        <v>2.8</v>
      </c>
    </row>
    <row r="23" spans="3:27" ht="33.75" customHeight="1">
      <c r="V23" s="8" t="s">
        <v>0</v>
      </c>
      <c r="W23" s="9" t="s">
        <v>25</v>
      </c>
      <c r="X23" s="9" t="s">
        <v>26</v>
      </c>
      <c r="Y23" s="9" t="s">
        <v>27</v>
      </c>
    </row>
    <row r="24" spans="3:27" ht="16.5" customHeight="1">
      <c r="V24" s="11">
        <v>1</v>
      </c>
      <c r="W24" s="10">
        <f>SQRT((V21-J14)^2+(W21-K14)^2)</f>
        <v>7.3783466982786861</v>
      </c>
      <c r="X24" s="10">
        <f>SQRT((X21-J14)^2+(Y21-K14)^2)</f>
        <v>1.1180339887498949</v>
      </c>
      <c r="Y24" s="10">
        <f>SQRT((Z21-$J$14)^2+(AA21-$K$14)^2)</f>
        <v>10.394229168149026</v>
      </c>
    </row>
    <row r="25" spans="3:27" ht="16.5" customHeight="1">
      <c r="V25" s="11">
        <v>2</v>
      </c>
      <c r="W25" s="10">
        <f t="dataTable" ref="W25:Y37" dt2D="0" dtr="0" r1="H14" ca="1"/>
        <v>6.2801273872430317</v>
      </c>
      <c r="X25" s="10">
        <v>1.3462912017836259</v>
      </c>
      <c r="Y25" s="10">
        <v>7.4726166769077622</v>
      </c>
    </row>
    <row r="26" spans="3:27" ht="16.5" customHeight="1">
      <c r="V26" s="11">
        <v>3</v>
      </c>
      <c r="W26" s="10">
        <v>1.9436506316150997</v>
      </c>
      <c r="X26" s="10">
        <v>7.340905181848413</v>
      </c>
      <c r="Y26" s="10">
        <v>5.1613951602255765</v>
      </c>
    </row>
    <row r="27" spans="3:27" ht="16.5" customHeight="1">
      <c r="G27" s="1">
        <f>W38</f>
        <v>13</v>
      </c>
      <c r="H27" s="1">
        <f>X38</f>
        <v>6</v>
      </c>
      <c r="I27" s="1">
        <f>Y38</f>
        <v>4</v>
      </c>
      <c r="V27" s="11">
        <v>4</v>
      </c>
      <c r="W27" s="10">
        <v>8.1633326527834207</v>
      </c>
      <c r="X27" s="10">
        <v>10.027739304327548</v>
      </c>
      <c r="Y27" s="10">
        <v>0.66666666666666652</v>
      </c>
    </row>
    <row r="28" spans="3:27" ht="16.5" customHeight="1">
      <c r="V28" s="11">
        <v>5</v>
      </c>
      <c r="W28" s="10">
        <v>6.5299310869258029</v>
      </c>
      <c r="X28" s="10">
        <v>8.1171971079239462</v>
      </c>
      <c r="Y28" s="10">
        <v>1</v>
      </c>
    </row>
    <row r="29" spans="3:27" ht="16.5" customHeight="1">
      <c r="V29" s="11">
        <v>6</v>
      </c>
      <c r="W29" s="10">
        <v>7.4726166769077613</v>
      </c>
      <c r="X29" s="10">
        <v>0.55901699437494745</v>
      </c>
      <c r="Y29" s="10">
        <v>8.7315519811772297</v>
      </c>
    </row>
    <row r="30" spans="3:27" ht="16.5" customHeight="1">
      <c r="V30" s="11">
        <v>7</v>
      </c>
      <c r="W30" s="10">
        <v>6.5299310869258029</v>
      </c>
      <c r="X30" s="10">
        <v>8.1171971079239462</v>
      </c>
      <c r="Y30" s="10">
        <v>1</v>
      </c>
    </row>
    <row r="31" spans="3:27" ht="16.5" customHeight="1">
      <c r="V31" s="11">
        <v>8</v>
      </c>
      <c r="W31" s="10">
        <v>8.7658428003244495</v>
      </c>
      <c r="X31" s="10">
        <v>1.7677669529663689</v>
      </c>
      <c r="Y31" s="10">
        <v>11.594826432508595</v>
      </c>
    </row>
    <row r="32" spans="3:27" ht="16.5" customHeight="1">
      <c r="V32" s="11">
        <v>9</v>
      </c>
      <c r="W32" s="10">
        <v>7.6967525619575428</v>
      </c>
      <c r="X32" s="10">
        <v>10.338708279513881</v>
      </c>
      <c r="Y32" s="10">
        <v>1.0671873729054744</v>
      </c>
    </row>
    <row r="33" spans="22:29" ht="16.5" customHeight="1">
      <c r="V33" s="11">
        <v>10</v>
      </c>
      <c r="W33" s="10">
        <v>8.7200917426366562</v>
      </c>
      <c r="X33" s="10">
        <v>9.8092926463747734</v>
      </c>
      <c r="Y33" s="10">
        <v>1.0671873729054744</v>
      </c>
    </row>
    <row r="34" spans="22:29" ht="16.5" customHeight="1">
      <c r="V34" s="11">
        <v>11</v>
      </c>
      <c r="W34" s="10">
        <v>1.0671873729054748</v>
      </c>
      <c r="X34" s="10">
        <v>8.4983658559879736</v>
      </c>
      <c r="Y34" s="10">
        <v>7.2138755187485737</v>
      </c>
    </row>
    <row r="35" spans="22:29" ht="16.5" customHeight="1">
      <c r="V35" s="11">
        <v>12</v>
      </c>
      <c r="W35" s="10">
        <v>1</v>
      </c>
      <c r="X35" s="10">
        <v>6.2627647426853112</v>
      </c>
      <c r="Y35" s="10">
        <v>6.8876701430890259</v>
      </c>
    </row>
    <row r="36" spans="22:29" ht="16.5" customHeight="1">
      <c r="V36" s="11">
        <v>13</v>
      </c>
      <c r="W36" s="10">
        <v>0.66666666666666607</v>
      </c>
      <c r="X36" s="10">
        <v>8.1171971079239462</v>
      </c>
      <c r="Y36" s="10">
        <v>7.9649231006959509</v>
      </c>
    </row>
    <row r="37" spans="22:29" ht="16.5" customHeight="1">
      <c r="V37" s="11">
        <v>14</v>
      </c>
      <c r="W37" s="10">
        <v>2.5873624493766707</v>
      </c>
      <c r="X37" s="10">
        <v>7.6739096221475585</v>
      </c>
      <c r="Y37" s="10">
        <v>10.470912090166738</v>
      </c>
    </row>
    <row r="38" spans="22:29" ht="30">
      <c r="V38" s="17" t="s">
        <v>28</v>
      </c>
      <c r="W38" s="18">
        <f>MATCH(SMALL(W24:W37,1),W24:W37,0)</f>
        <v>13</v>
      </c>
      <c r="X38" s="18">
        <f t="shared" ref="X38:Y38" si="8">MATCH(SMALL(X24:X37,1),X24:X37,0)</f>
        <v>6</v>
      </c>
      <c r="Y38" s="18">
        <f t="shared" si="8"/>
        <v>4</v>
      </c>
      <c r="AC38" s="1">
        <v>0</v>
      </c>
    </row>
  </sheetData>
  <sortState ref="R5:R18">
    <sortCondition ref="R5"/>
  </sortState>
  <mergeCells count="8">
    <mergeCell ref="H13:I13"/>
    <mergeCell ref="H14:I14"/>
    <mergeCell ref="G16:L16"/>
    <mergeCell ref="A2:U3"/>
    <mergeCell ref="G9:H9"/>
    <mergeCell ref="I9:J9"/>
    <mergeCell ref="K9:L9"/>
    <mergeCell ref="C5:E5"/>
  </mergeCells>
  <conditionalFormatting sqref="Q7:Q20">
    <cfRule type="containsText" dxfId="10" priority="9" operator="containsText" text="Class1">
      <formula>NOT(ISERROR(SEARCH("Class1",Q7)))</formula>
    </cfRule>
    <cfRule type="dataBar" priority="10">
      <dataBar>
        <cfvo type="min" val="0"/>
        <cfvo type="max" val="0"/>
        <color rgb="FF638EC6"/>
      </dataBar>
    </cfRule>
  </conditionalFormatting>
  <conditionalFormatting sqref="T7:T20">
    <cfRule type="containsText" dxfId="9" priority="5" operator="containsText" text="Class2">
      <formula>NOT(ISERROR(SEARCH("Class2",T7)))</formula>
    </cfRule>
    <cfRule type="cellIs" dxfId="8" priority="6" operator="equal">
      <formula>"""Class1"""</formula>
    </cfRule>
    <cfRule type="containsText" dxfId="7" priority="7" operator="containsText" text="Class1">
      <formula>NOT(ISERROR(SEARCH("Class1",T7)))</formula>
    </cfRule>
    <cfRule type="dataBar" priority="8">
      <dataBar>
        <cfvo type="min" val="0"/>
        <cfvo type="max" val="0"/>
        <color rgb="FF638EC6"/>
      </dataBar>
    </cfRule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ntainsText" dxfId="6" priority="2" operator="containsText" text="Cluster1">
      <formula>NOT(ISERROR(SEARCH("Cluster1",T7)))</formula>
    </cfRule>
    <cfRule type="containsText" dxfId="5" priority="1" operator="containsText" text="Cluster2">
      <formula>NOT(ISERROR(SEARCH("Cluster2",T7)))</formula>
    </cfRule>
  </conditionalFormatting>
  <conditionalFormatting sqref="O7:P20">
    <cfRule type="dataBar" priority="4">
      <dataBar>
        <cfvo type="min" val="0"/>
        <cfvo type="max" val="0"/>
        <color rgb="FF638EC6"/>
      </dataBar>
    </cfRule>
  </conditionalFormatting>
  <pageMargins left="0.7" right="0.7" top="0.75" bottom="0.75" header="0.3" footer="0.3"/>
  <drawing r:id="rId1"/>
  <legacyDrawing r:id="rId2"/>
  <controls>
    <control shapeId="2049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K-Means</vt:lpstr>
      <vt:lpstr>K_Medoids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Aravind</dc:creator>
  <cp:lastModifiedBy>Aravind</cp:lastModifiedBy>
  <dcterms:created xsi:type="dcterms:W3CDTF">2010-09-22T22:24:54Z</dcterms:created>
  <dcterms:modified xsi:type="dcterms:W3CDTF">2010-10-05T19:43:41Z</dcterms:modified>
</cp:coreProperties>
</file>