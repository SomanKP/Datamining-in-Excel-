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40" yWindow="150" windowWidth="19320" windowHeight="7935"/>
  </bookViews>
  <sheets>
    <sheet name="K-Means" sheetId="3" r:id="rId1"/>
  </sheets>
  <definedNames>
    <definedName name="AH31\">#REF!</definedName>
    <definedName name="DATATABE">#REF!</definedName>
    <definedName name="DATATABLE">#REF!</definedName>
    <definedName name="solver_adj" localSheetId="0" hidden="1">'K-Means'!$K$16:$P$16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'K-Means'!$Y$55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4519"/>
</workbook>
</file>

<file path=xl/calcChain.xml><?xml version="1.0" encoding="utf-8"?>
<calcChain xmlns="http://schemas.openxmlformats.org/spreadsheetml/2006/main">
  <c r="P19" i="3"/>
  <c r="Q19"/>
  <c r="N19"/>
  <c r="M19"/>
  <c r="O19"/>
  <c r="L19"/>
  <c r="V6" l="1"/>
  <c r="W6"/>
  <c r="T6"/>
  <c r="U6"/>
  <c r="Y6" l="1"/>
  <c r="Y55" s="1"/>
  <c r="X6"/>
</calcChain>
</file>

<file path=xl/sharedStrings.xml><?xml version="1.0" encoding="utf-8"?>
<sst xmlns="http://schemas.openxmlformats.org/spreadsheetml/2006/main" count="52" uniqueCount="22">
  <si>
    <t>INDEX</t>
  </si>
  <si>
    <t>SL NO</t>
  </si>
  <si>
    <t>CLASS</t>
  </si>
  <si>
    <t>Distance to 
CENTROID 1</t>
  </si>
  <si>
    <t>Distance to 
CENTROID 2</t>
  </si>
  <si>
    <t>Distance to 
CENTROID 3</t>
  </si>
  <si>
    <t>INDEX  OF CURRENT POINT</t>
  </si>
  <si>
    <t>TEST DATA</t>
  </si>
  <si>
    <t>Distance to 
CENTROID 4</t>
  </si>
  <si>
    <t>PctAfrAmer</t>
  </si>
  <si>
    <t>PctHispanic</t>
  </si>
  <si>
    <t>PctAsian</t>
  </si>
  <si>
    <t>MedianAge</t>
  </si>
  <si>
    <t>UnempRate</t>
  </si>
  <si>
    <t>PCIncome</t>
  </si>
  <si>
    <t>TOTAL</t>
  </si>
  <si>
    <t>Cluster Center 2</t>
  </si>
  <si>
    <t>Cluster Center 3</t>
  </si>
  <si>
    <t>Cluster Center 4</t>
  </si>
  <si>
    <t>Cluster Center 1</t>
  </si>
  <si>
    <t>CLUSTERING LARGE CITIES</t>
  </si>
  <si>
    <t>Minimum Distance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</si>
</sst>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AX56"/>
  <sheetViews>
    <sheetView tabSelected="1" topLeftCell="A4" workbookViewId="0">
      <selection activeCell="S5" sqref="S5:Y56"/>
    </sheetView>
  </sheetViews>
  <sheetFormatPr defaultRowHeight="16.5" customHeight="1"/>
  <cols>
    <col min="1" max="1" width="7" style="1" customWidth="1"/>
    <col min="2" max="2" width="9.140625" style="1"/>
    <col min="3" max="3" width="11.28515625" style="1" bestFit="1" customWidth="1"/>
    <col min="4" max="4" width="11.140625" style="1" bestFit="1" customWidth="1"/>
    <col min="5" max="5" width="8.5703125" style="1" bestFit="1" customWidth="1"/>
    <col min="6" max="6" width="11.28515625" style="1" bestFit="1" customWidth="1"/>
    <col min="7" max="7" width="11.5703125" style="1" bestFit="1" customWidth="1"/>
    <col min="8" max="8" width="9.85546875" style="1" bestFit="1" customWidth="1"/>
    <col min="9" max="9" width="9.140625" style="1"/>
    <col min="10" max="10" width="11.5703125" style="1" customWidth="1"/>
    <col min="11" max="11" width="12" style="1" bestFit="1" customWidth="1"/>
    <col min="12" max="15" width="13" style="1" customWidth="1"/>
    <col min="16" max="18" width="11" style="1" customWidth="1"/>
    <col min="19" max="19" width="6.5703125" style="1" customWidth="1"/>
    <col min="20" max="20" width="12" style="1" bestFit="1" customWidth="1"/>
    <col min="21" max="21" width="12.28515625" style="1" bestFit="1" customWidth="1"/>
    <col min="22" max="23" width="12.28515625" style="1" customWidth="1"/>
    <col min="24" max="24" width="10" style="1" customWidth="1"/>
    <col min="25" max="25" width="13.5703125" style="1" bestFit="1" customWidth="1"/>
    <col min="26" max="29" width="14.5703125" style="1" bestFit="1" customWidth="1"/>
    <col min="30" max="41" width="16.5703125" style="1" customWidth="1"/>
    <col min="42" max="42" width="13.5703125" style="1" customWidth="1"/>
    <col min="43" max="43" width="15.140625" style="1" customWidth="1"/>
    <col min="44" max="44" width="13.85546875" style="1" customWidth="1"/>
    <col min="45" max="50" width="13.5703125" style="1" customWidth="1"/>
    <col min="51" max="16384" width="9.140625" style="1"/>
  </cols>
  <sheetData>
    <row r="2" spans="1:50" ht="16.5" customHeight="1">
      <c r="A2" s="21" t="s">
        <v>20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</row>
    <row r="3" spans="1:50" ht="16.5" customHeight="1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</row>
    <row r="5" spans="1:50" ht="29.25" customHeight="1">
      <c r="B5" s="23" t="s">
        <v>7</v>
      </c>
      <c r="C5" s="24"/>
      <c r="D5" s="24"/>
      <c r="E5" s="24"/>
      <c r="F5" s="24"/>
      <c r="G5" s="24"/>
      <c r="H5" s="25"/>
      <c r="I5" s="3"/>
      <c r="K5" s="22" t="s">
        <v>19</v>
      </c>
      <c r="L5" s="22"/>
      <c r="M5" s="22"/>
      <c r="N5" s="22"/>
      <c r="O5" s="22"/>
      <c r="P5" s="22"/>
      <c r="S5" s="4" t="s">
        <v>0</v>
      </c>
      <c r="T5" s="5" t="s">
        <v>3</v>
      </c>
      <c r="U5" s="5" t="s">
        <v>4</v>
      </c>
      <c r="V5" s="5" t="s">
        <v>5</v>
      </c>
      <c r="W5" s="5" t="s">
        <v>8</v>
      </c>
      <c r="X5" s="4" t="s">
        <v>2</v>
      </c>
      <c r="Y5" s="16" t="s">
        <v>21</v>
      </c>
    </row>
    <row r="6" spans="1:50" s="2" customFormat="1" ht="15">
      <c r="B6" s="11" t="s">
        <v>1</v>
      </c>
      <c r="C6" s="11" t="s">
        <v>9</v>
      </c>
      <c r="D6" s="11" t="s">
        <v>10</v>
      </c>
      <c r="E6" s="11" t="s">
        <v>11</v>
      </c>
      <c r="F6" s="11" t="s">
        <v>12</v>
      </c>
      <c r="G6" s="11" t="s">
        <v>13</v>
      </c>
      <c r="H6" s="11" t="s">
        <v>14</v>
      </c>
      <c r="I6" s="3"/>
      <c r="K6" s="14" t="s">
        <v>9</v>
      </c>
      <c r="L6" s="14" t="s">
        <v>10</v>
      </c>
      <c r="M6" s="14" t="s">
        <v>11</v>
      </c>
      <c r="N6" s="14" t="s">
        <v>12</v>
      </c>
      <c r="O6" s="14" t="s">
        <v>13</v>
      </c>
      <c r="P6" s="14" t="s">
        <v>14</v>
      </c>
      <c r="S6" s="7">
        <v>1</v>
      </c>
      <c r="T6" s="6">
        <f>SQRT((L19-K7)^2+(M19-L7)^2+(M7-N19)^2+(O19-N7)^2+(P19-O7)^2+(Q19-P7)^2)</f>
        <v>41.164549061328906</v>
      </c>
      <c r="U6" s="6">
        <f>SQRT((L19-K10)^2+(M19-L10)^2+(M10-N19)^2+(O19-N10)^2+(P19-O10)^2+(Q19-P10)^2)</f>
        <v>71.493614488476979</v>
      </c>
      <c r="V6" s="6">
        <f>SQRT((L19-K13)^2+(M19-L13)^2+(M13-N19)^2+(O19-N13)^2+(P19-O13)^2+(Q19-P13)^2)</f>
        <v>15.3368495721052</v>
      </c>
      <c r="W6" s="6">
        <f>SQRT((L19-K16)^2+(M19-L16)^2+(M16-N19)^2+(O19-N16)^2+(P19-O16)^2+(Q19-P16)^2)</f>
        <v>31.126540784668489</v>
      </c>
      <c r="X6" s="6" t="str">
        <f>IF(MIN(T6:W6)=T6,"Cluster1",IF(MIN(T6:W6)=U6,"Cluster2",IF(MIN(T6:W6)=V6,"Cluster3","Cluster4")))</f>
        <v>Cluster3</v>
      </c>
      <c r="Y6" s="6">
        <f>SUM(T6:W6)</f>
        <v>159.12155390657958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</row>
    <row r="7" spans="1:50" ht="16.5" customHeight="1">
      <c r="B7" s="8">
        <v>1</v>
      </c>
      <c r="C7" s="6">
        <v>3</v>
      </c>
      <c r="D7" s="6">
        <v>35</v>
      </c>
      <c r="E7" s="6">
        <v>2</v>
      </c>
      <c r="F7" s="6">
        <v>32</v>
      </c>
      <c r="G7" s="6">
        <v>5</v>
      </c>
      <c r="H7" s="6">
        <v>18</v>
      </c>
      <c r="I7" s="3"/>
      <c r="K7" s="6">
        <v>29.836869539473323</v>
      </c>
      <c r="L7" s="6">
        <v>3.9735526748326948</v>
      </c>
      <c r="M7" s="6">
        <v>1.0847529712538106</v>
      </c>
      <c r="N7" s="6">
        <v>32.938330399397174</v>
      </c>
      <c r="O7" s="6">
        <v>5.9960669927046757</v>
      </c>
      <c r="P7" s="6">
        <v>20.991957320291259</v>
      </c>
      <c r="S7" s="7">
        <v>2</v>
      </c>
      <c r="T7" s="6">
        <f t="dataTable" ref="T7:Y54" dt2D="0" dtr="0" r1="J19"/>
        <v>37.292972301599917</v>
      </c>
      <c r="U7" s="6">
        <v>1.0003055697379033</v>
      </c>
      <c r="V7" s="6">
        <v>58.988727801114358</v>
      </c>
      <c r="W7" s="6">
        <v>45.275269001034061</v>
      </c>
      <c r="X7" s="6" t="str">
        <v>Cluster2</v>
      </c>
      <c r="Y7" s="6">
        <v>142.55727467348623</v>
      </c>
    </row>
    <row r="8" spans="1:50" ht="16.5" customHeight="1">
      <c r="B8" s="8">
        <v>2</v>
      </c>
      <c r="C8" s="6">
        <v>67</v>
      </c>
      <c r="D8" s="6">
        <v>2</v>
      </c>
      <c r="E8" s="6">
        <v>1</v>
      </c>
      <c r="F8" s="6">
        <v>31</v>
      </c>
      <c r="G8" s="6">
        <v>5</v>
      </c>
      <c r="H8" s="6">
        <v>22</v>
      </c>
      <c r="I8" s="3"/>
      <c r="K8" s="22" t="s">
        <v>16</v>
      </c>
      <c r="L8" s="22"/>
      <c r="M8" s="22"/>
      <c r="N8" s="22"/>
      <c r="O8" s="22"/>
      <c r="P8" s="22"/>
      <c r="S8" s="7">
        <v>3</v>
      </c>
      <c r="T8" s="6">
        <v>26.688621951912967</v>
      </c>
      <c r="U8" s="6">
        <v>58.3790491895599</v>
      </c>
      <c r="V8" s="6">
        <v>0.60722802393299657</v>
      </c>
      <c r="W8" s="6">
        <v>16.693077095177713</v>
      </c>
      <c r="X8" s="6" t="str">
        <v>Cluster3</v>
      </c>
      <c r="Y8" s="6">
        <v>102.36797626058357</v>
      </c>
    </row>
    <row r="9" spans="1:50" ht="16.5" customHeight="1">
      <c r="B9" s="8">
        <v>3</v>
      </c>
      <c r="C9" s="6">
        <v>12</v>
      </c>
      <c r="D9" s="6">
        <v>23</v>
      </c>
      <c r="E9" s="6">
        <v>3</v>
      </c>
      <c r="F9" s="6">
        <v>29</v>
      </c>
      <c r="G9" s="6">
        <v>3</v>
      </c>
      <c r="H9" s="6">
        <v>19</v>
      </c>
      <c r="I9" s="3"/>
      <c r="K9" s="15" t="s">
        <v>9</v>
      </c>
      <c r="L9" s="15" t="s">
        <v>10</v>
      </c>
      <c r="M9" s="15" t="s">
        <v>11</v>
      </c>
      <c r="N9" s="15" t="s">
        <v>12</v>
      </c>
      <c r="O9" s="15" t="s">
        <v>13</v>
      </c>
      <c r="P9" s="15" t="s">
        <v>14</v>
      </c>
      <c r="S9" s="7">
        <v>4</v>
      </c>
      <c r="T9" s="6">
        <v>29.755615865901557</v>
      </c>
      <c r="U9" s="6">
        <v>9.4693009459086124</v>
      </c>
      <c r="V9" s="6">
        <v>52.709244553588128</v>
      </c>
      <c r="W9" s="6">
        <v>38.040440023975258</v>
      </c>
      <c r="X9" s="6" t="str">
        <v>Cluster2</v>
      </c>
      <c r="Y9" s="6">
        <v>129.97460138937356</v>
      </c>
    </row>
    <row r="10" spans="1:50" ht="16.5" customHeight="1">
      <c r="B10" s="8">
        <v>4</v>
      </c>
      <c r="C10" s="6">
        <v>59</v>
      </c>
      <c r="D10" s="6">
        <v>1</v>
      </c>
      <c r="E10" s="6">
        <v>1</v>
      </c>
      <c r="F10" s="6">
        <v>33</v>
      </c>
      <c r="G10" s="6">
        <v>11</v>
      </c>
      <c r="H10" s="6">
        <v>22</v>
      </c>
      <c r="I10" s="3"/>
      <c r="K10" s="6">
        <v>66.232542112098713</v>
      </c>
      <c r="L10" s="6">
        <v>1.8618218031056968</v>
      </c>
      <c r="M10" s="6">
        <v>0.83989926771292822</v>
      </c>
      <c r="N10" s="6">
        <v>30.935668639777678</v>
      </c>
      <c r="O10" s="6">
        <v>5.3362161391119178</v>
      </c>
      <c r="P10" s="6">
        <v>21.500285733179879</v>
      </c>
      <c r="S10" s="7">
        <v>5</v>
      </c>
      <c r="T10" s="6">
        <v>9.9043397016318817</v>
      </c>
      <c r="U10" s="6">
        <v>41.553667373339898</v>
      </c>
      <c r="V10" s="6">
        <v>19.306319958179476</v>
      </c>
      <c r="W10" s="6">
        <v>4.9128238784364964</v>
      </c>
      <c r="X10" s="6" t="str">
        <v>Cluster4</v>
      </c>
      <c r="Y10" s="6">
        <v>75.677150911587759</v>
      </c>
    </row>
    <row r="11" spans="1:50" ht="16.5" customHeight="1">
      <c r="B11" s="8">
        <v>5</v>
      </c>
      <c r="C11" s="6">
        <v>26</v>
      </c>
      <c r="D11" s="6">
        <v>11</v>
      </c>
      <c r="E11" s="6">
        <v>5</v>
      </c>
      <c r="F11" s="6">
        <v>30</v>
      </c>
      <c r="G11" s="6">
        <v>5</v>
      </c>
      <c r="H11" s="6">
        <v>24</v>
      </c>
      <c r="I11" s="3"/>
      <c r="K11" s="22" t="s">
        <v>17</v>
      </c>
      <c r="L11" s="22"/>
      <c r="M11" s="22"/>
      <c r="N11" s="22"/>
      <c r="O11" s="22"/>
      <c r="P11" s="22"/>
      <c r="S11" s="7">
        <v>6</v>
      </c>
      <c r="T11" s="6">
        <v>5.0199289548138504</v>
      </c>
      <c r="U11" s="6">
        <v>34.39181696799627</v>
      </c>
      <c r="V11" s="6">
        <v>30.014637037204604</v>
      </c>
      <c r="W11" s="6">
        <v>14.562558144380764</v>
      </c>
      <c r="X11" s="6" t="str">
        <v>Cluster1</v>
      </c>
      <c r="Y11" s="6">
        <v>83.988941104395479</v>
      </c>
    </row>
    <row r="12" spans="1:50" ht="16.5" customHeight="1">
      <c r="B12" s="8">
        <v>6</v>
      </c>
      <c r="C12" s="6">
        <v>32</v>
      </c>
      <c r="D12" s="6">
        <v>1</v>
      </c>
      <c r="E12" s="6">
        <v>2</v>
      </c>
      <c r="F12" s="6">
        <v>32</v>
      </c>
      <c r="G12" s="6">
        <v>3</v>
      </c>
      <c r="H12" s="6">
        <v>20</v>
      </c>
      <c r="I12" s="3"/>
      <c r="K12" s="15" t="s">
        <v>9</v>
      </c>
      <c r="L12" s="15" t="s">
        <v>10</v>
      </c>
      <c r="M12" s="15" t="s">
        <v>11</v>
      </c>
      <c r="N12" s="15" t="s">
        <v>12</v>
      </c>
      <c r="O12" s="15" t="s">
        <v>13</v>
      </c>
      <c r="P12" s="15" t="s">
        <v>14</v>
      </c>
      <c r="S12" s="7">
        <v>7</v>
      </c>
      <c r="T12" s="6">
        <v>19.264934413438901</v>
      </c>
      <c r="U12" s="6">
        <v>33.170274598602269</v>
      </c>
      <c r="V12" s="6">
        <v>28.127099325378616</v>
      </c>
      <c r="W12" s="6">
        <v>18.647999709922889</v>
      </c>
      <c r="X12" s="6" t="str">
        <v>Cluster4</v>
      </c>
      <c r="Y12" s="6">
        <v>99.210308047342664</v>
      </c>
    </row>
    <row r="13" spans="1:50" ht="16.5" customHeight="1">
      <c r="B13" s="8">
        <v>7</v>
      </c>
      <c r="C13" s="6">
        <v>39</v>
      </c>
      <c r="D13" s="6">
        <v>20</v>
      </c>
      <c r="E13" s="6">
        <v>4</v>
      </c>
      <c r="F13" s="6">
        <v>31</v>
      </c>
      <c r="G13" s="6">
        <v>9</v>
      </c>
      <c r="H13" s="6">
        <v>24</v>
      </c>
      <c r="I13" s="3"/>
      <c r="K13" s="6">
        <v>12.176019972920804</v>
      </c>
      <c r="L13" s="6">
        <v>23.297323740938388</v>
      </c>
      <c r="M13" s="6">
        <v>3.3754642752718671</v>
      </c>
      <c r="N13" s="6">
        <v>29.182229554216406</v>
      </c>
      <c r="O13" s="6">
        <v>3.2572995846454851</v>
      </c>
      <c r="P13" s="6">
        <v>19.094643153808693</v>
      </c>
      <c r="S13" s="7">
        <v>8</v>
      </c>
      <c r="T13" s="6">
        <v>9.1246279053653083</v>
      </c>
      <c r="U13" s="6">
        <v>28.37595763974273</v>
      </c>
      <c r="V13" s="6">
        <v>34.628302041899033</v>
      </c>
      <c r="W13" s="6">
        <v>18.771135879578782</v>
      </c>
      <c r="X13" s="6" t="str">
        <v>Cluster1</v>
      </c>
      <c r="Y13" s="6">
        <v>90.90002346658585</v>
      </c>
    </row>
    <row r="14" spans="1:50" ht="16.5" customHeight="1">
      <c r="B14" s="8">
        <v>8</v>
      </c>
      <c r="C14" s="6">
        <v>38</v>
      </c>
      <c r="D14" s="6">
        <v>1</v>
      </c>
      <c r="E14" s="6">
        <v>1</v>
      </c>
      <c r="F14" s="6">
        <v>31</v>
      </c>
      <c r="G14" s="6">
        <v>8</v>
      </c>
      <c r="H14" s="6">
        <v>21</v>
      </c>
      <c r="I14" s="3"/>
      <c r="K14" s="22" t="s">
        <v>18</v>
      </c>
      <c r="L14" s="22"/>
      <c r="M14" s="22"/>
      <c r="N14" s="22"/>
      <c r="O14" s="22"/>
      <c r="P14" s="22"/>
      <c r="S14" s="7">
        <v>9</v>
      </c>
      <c r="T14" s="6">
        <v>18.616807350772213</v>
      </c>
      <c r="U14" s="6">
        <v>20.973329954797759</v>
      </c>
      <c r="V14" s="6">
        <v>40.797617719695374</v>
      </c>
      <c r="W14" s="6">
        <v>26.030217727168267</v>
      </c>
      <c r="X14" s="6" t="str">
        <v>Cluster1</v>
      </c>
      <c r="Y14" s="6">
        <v>106.4179727524336</v>
      </c>
    </row>
    <row r="15" spans="1:50" ht="16.5" customHeight="1">
      <c r="B15" s="8">
        <v>9</v>
      </c>
      <c r="C15" s="6">
        <v>47</v>
      </c>
      <c r="D15" s="6">
        <v>5</v>
      </c>
      <c r="E15" s="6">
        <v>1</v>
      </c>
      <c r="F15" s="6">
        <v>32</v>
      </c>
      <c r="G15" s="6">
        <v>13</v>
      </c>
      <c r="H15" s="6">
        <v>22</v>
      </c>
      <c r="I15" s="3"/>
      <c r="K15" s="15" t="s">
        <v>9</v>
      </c>
      <c r="L15" s="15" t="s">
        <v>10</v>
      </c>
      <c r="M15" s="15" t="s">
        <v>11</v>
      </c>
      <c r="N15" s="15" t="s">
        <v>12</v>
      </c>
      <c r="O15" s="15" t="s">
        <v>13</v>
      </c>
      <c r="P15" s="15" t="s">
        <v>14</v>
      </c>
      <c r="S15" s="7">
        <v>10</v>
      </c>
      <c r="T15" s="6">
        <v>12.032486164644403</v>
      </c>
      <c r="U15" s="6">
        <v>44.188243283492469</v>
      </c>
      <c r="V15" s="6">
        <v>25.562964958437998</v>
      </c>
      <c r="W15" s="6">
        <v>14.140990037701277</v>
      </c>
      <c r="X15" s="6" t="str">
        <v>Cluster1</v>
      </c>
      <c r="Y15" s="6">
        <v>95.924684444276139</v>
      </c>
    </row>
    <row r="16" spans="1:50" ht="16.5" customHeight="1">
      <c r="B16" s="8">
        <v>10</v>
      </c>
      <c r="C16" s="6">
        <v>23</v>
      </c>
      <c r="D16" s="6">
        <v>1</v>
      </c>
      <c r="E16" s="6">
        <v>2</v>
      </c>
      <c r="F16" s="6">
        <v>29</v>
      </c>
      <c r="G16" s="6">
        <v>3</v>
      </c>
      <c r="H16" s="6">
        <v>13</v>
      </c>
      <c r="I16" s="3"/>
      <c r="K16" s="6">
        <v>22.909491003008569</v>
      </c>
      <c r="L16" s="6">
        <v>11.454412427487432</v>
      </c>
      <c r="M16" s="6">
        <v>4.5593309819249548</v>
      </c>
      <c r="N16" s="6">
        <v>31.714960596290872</v>
      </c>
      <c r="O16" s="6">
        <v>6.5313120346904174</v>
      </c>
      <c r="P16" s="6">
        <v>21.017064136142626</v>
      </c>
      <c r="S16" s="7">
        <v>11</v>
      </c>
      <c r="T16" s="6">
        <v>17.590842682484869</v>
      </c>
      <c r="U16" s="6">
        <v>41.169907804625595</v>
      </c>
      <c r="V16" s="6">
        <v>19.155999512298148</v>
      </c>
      <c r="W16" s="6">
        <v>12.56763335100589</v>
      </c>
      <c r="X16" s="6" t="str">
        <v>Cluster4</v>
      </c>
      <c r="Y16" s="6">
        <v>90.484383350414504</v>
      </c>
    </row>
    <row r="17" spans="2:25" ht="16.5" customHeight="1">
      <c r="B17" s="8">
        <v>11</v>
      </c>
      <c r="C17" s="6">
        <v>30</v>
      </c>
      <c r="D17" s="6">
        <v>21</v>
      </c>
      <c r="E17" s="6">
        <v>2</v>
      </c>
      <c r="F17" s="6">
        <v>30</v>
      </c>
      <c r="G17" s="6">
        <v>9</v>
      </c>
      <c r="H17" s="6">
        <v>22</v>
      </c>
      <c r="I17" s="3"/>
      <c r="S17" s="7">
        <v>12</v>
      </c>
      <c r="T17" s="6">
        <v>25.54389966425942</v>
      </c>
      <c r="U17" s="6">
        <v>57.413233641837067</v>
      </c>
      <c r="V17" s="6">
        <v>7.4249428972857574</v>
      </c>
      <c r="W17" s="6">
        <v>15.729649949500038</v>
      </c>
      <c r="X17" s="6" t="str">
        <v>Cluster3</v>
      </c>
      <c r="Y17" s="6">
        <v>106.1117261528823</v>
      </c>
    </row>
    <row r="18" spans="2:25" ht="16.5" customHeight="1">
      <c r="B18" s="8">
        <v>12</v>
      </c>
      <c r="C18" s="6">
        <v>13</v>
      </c>
      <c r="D18" s="6">
        <v>23</v>
      </c>
      <c r="E18" s="6">
        <v>2</v>
      </c>
      <c r="F18" s="6">
        <v>34</v>
      </c>
      <c r="G18" s="6">
        <v>7</v>
      </c>
      <c r="H18" s="6">
        <v>23</v>
      </c>
      <c r="I18" s="3"/>
      <c r="J18" s="20" t="s">
        <v>6</v>
      </c>
      <c r="K18" s="20"/>
      <c r="L18" s="9" t="s">
        <v>9</v>
      </c>
      <c r="M18" s="9" t="s">
        <v>10</v>
      </c>
      <c r="N18" s="9" t="s">
        <v>11</v>
      </c>
      <c r="O18" s="9" t="s">
        <v>12</v>
      </c>
      <c r="P18" s="13" t="s">
        <v>13</v>
      </c>
      <c r="Q18" s="12" t="s">
        <v>14</v>
      </c>
      <c r="S18" s="7">
        <v>13</v>
      </c>
      <c r="T18" s="6">
        <v>46.311665967946546</v>
      </c>
      <c r="U18" s="6">
        <v>10.507238074885562</v>
      </c>
      <c r="V18" s="6">
        <v>67.312984558924157</v>
      </c>
      <c r="W18" s="6">
        <v>53.938427416839183</v>
      </c>
      <c r="X18" s="6" t="str">
        <v>Cluster2</v>
      </c>
      <c r="Y18" s="6">
        <v>178.07031601859543</v>
      </c>
    </row>
    <row r="19" spans="2:25" ht="16.5" customHeight="1">
      <c r="B19" s="8">
        <v>13</v>
      </c>
      <c r="C19" s="6">
        <v>76</v>
      </c>
      <c r="D19" s="6">
        <v>3</v>
      </c>
      <c r="E19" s="6">
        <v>1</v>
      </c>
      <c r="F19" s="6">
        <v>31</v>
      </c>
      <c r="G19" s="6">
        <v>9</v>
      </c>
      <c r="H19" s="6">
        <v>21</v>
      </c>
      <c r="I19" s="3"/>
      <c r="J19" s="19">
        <v>1</v>
      </c>
      <c r="K19" s="19"/>
      <c r="L19" s="6">
        <f t="shared" ref="L19:Q19" si="0">INDEX(C7:C55,$J$19,1)</f>
        <v>3</v>
      </c>
      <c r="M19" s="6">
        <f t="shared" si="0"/>
        <v>35</v>
      </c>
      <c r="N19" s="6">
        <f t="shared" si="0"/>
        <v>2</v>
      </c>
      <c r="O19" s="6">
        <f t="shared" si="0"/>
        <v>32</v>
      </c>
      <c r="P19" s="6">
        <f t="shared" si="0"/>
        <v>5</v>
      </c>
      <c r="Q19" s="6">
        <f t="shared" si="0"/>
        <v>18</v>
      </c>
      <c r="S19" s="7">
        <v>14</v>
      </c>
      <c r="T19" s="6">
        <v>71.085053106565795</v>
      </c>
      <c r="U19" s="6">
        <v>92.811610825652238</v>
      </c>
      <c r="V19" s="6">
        <v>47.704340293224433</v>
      </c>
      <c r="W19" s="6">
        <v>61.742730897144668</v>
      </c>
      <c r="X19" s="6" t="str">
        <v>Cluster3</v>
      </c>
      <c r="Y19" s="6">
        <v>273.34373512258713</v>
      </c>
    </row>
    <row r="20" spans="2:25" ht="16.5" customHeight="1">
      <c r="B20" s="8">
        <v>14</v>
      </c>
      <c r="C20" s="6">
        <v>3</v>
      </c>
      <c r="D20" s="6">
        <v>69</v>
      </c>
      <c r="E20" s="6">
        <v>1</v>
      </c>
      <c r="F20" s="6">
        <v>29</v>
      </c>
      <c r="G20" s="6">
        <v>11</v>
      </c>
      <c r="H20" s="6">
        <v>13</v>
      </c>
      <c r="I20" s="3"/>
      <c r="S20" s="7">
        <v>15</v>
      </c>
      <c r="T20" s="6">
        <v>18.377774444756227</v>
      </c>
      <c r="U20" s="6">
        <v>47.993820112321558</v>
      </c>
      <c r="V20" s="6">
        <v>11.989239216022488</v>
      </c>
      <c r="W20" s="6">
        <v>9.5118003286968751</v>
      </c>
      <c r="X20" s="6" t="str">
        <v>Cluster4</v>
      </c>
      <c r="Y20" s="6">
        <v>87.872634101797146</v>
      </c>
    </row>
    <row r="21" spans="2:25" ht="16.5" customHeight="1">
      <c r="B21" s="8">
        <v>15</v>
      </c>
      <c r="C21" s="6">
        <v>22</v>
      </c>
      <c r="D21" s="6">
        <v>20</v>
      </c>
      <c r="E21" s="6">
        <v>2</v>
      </c>
      <c r="F21" s="6">
        <v>30</v>
      </c>
      <c r="G21" s="6">
        <v>9</v>
      </c>
      <c r="H21" s="6">
        <v>20</v>
      </c>
      <c r="I21" s="3"/>
      <c r="S21" s="7">
        <v>16</v>
      </c>
      <c r="T21" s="6">
        <v>36.768002759501158</v>
      </c>
      <c r="U21" s="6">
        <v>65.671865172601159</v>
      </c>
      <c r="V21" s="6">
        <v>15.922919147266146</v>
      </c>
      <c r="W21" s="6">
        <v>26.257826273625625</v>
      </c>
      <c r="X21" s="6" t="str">
        <v>Cluster3</v>
      </c>
      <c r="Y21" s="6">
        <v>144.6206133529941</v>
      </c>
    </row>
    <row r="22" spans="2:25" ht="16.5" customHeight="1">
      <c r="B22" s="8">
        <v>16</v>
      </c>
      <c r="C22" s="6">
        <v>9</v>
      </c>
      <c r="D22" s="6">
        <v>30</v>
      </c>
      <c r="E22" s="6">
        <v>13</v>
      </c>
      <c r="F22" s="6">
        <v>28</v>
      </c>
      <c r="G22" s="6">
        <v>13</v>
      </c>
      <c r="H22" s="6">
        <v>16</v>
      </c>
      <c r="I22" s="3"/>
      <c r="S22" s="10">
        <v>17</v>
      </c>
      <c r="T22" s="6">
        <v>75.810936125336937</v>
      </c>
      <c r="U22" s="6">
        <v>96.076584947225228</v>
      </c>
      <c r="V22" s="6">
        <v>71.561095406442618</v>
      </c>
      <c r="W22" s="6">
        <v>70.535255013210559</v>
      </c>
      <c r="X22" s="6" t="str">
        <v>Cluster4</v>
      </c>
      <c r="Y22" s="6">
        <v>313.98387149221537</v>
      </c>
    </row>
    <row r="23" spans="2:25" ht="16.5" customHeight="1">
      <c r="B23" s="8">
        <v>17</v>
      </c>
      <c r="C23" s="6">
        <v>1</v>
      </c>
      <c r="D23" s="6">
        <v>5</v>
      </c>
      <c r="E23" s="6">
        <v>71</v>
      </c>
      <c r="F23" s="6">
        <v>37</v>
      </c>
      <c r="G23" s="6">
        <v>5</v>
      </c>
      <c r="H23" s="6">
        <v>24</v>
      </c>
      <c r="S23" s="10">
        <v>18</v>
      </c>
      <c r="T23" s="6">
        <v>24.490829775162183</v>
      </c>
      <c r="U23" s="6">
        <v>46.463009365858795</v>
      </c>
      <c r="V23" s="6">
        <v>17.205266811973807</v>
      </c>
      <c r="W23" s="6">
        <v>17.438736258215144</v>
      </c>
      <c r="X23" s="6" t="str">
        <v>Cluster3</v>
      </c>
      <c r="Y23" s="6">
        <v>105.59784221120994</v>
      </c>
    </row>
    <row r="24" spans="2:25" ht="16.5" customHeight="1">
      <c r="B24" s="8">
        <v>18</v>
      </c>
      <c r="C24" s="6">
        <v>28</v>
      </c>
      <c r="D24" s="6">
        <v>28</v>
      </c>
      <c r="E24" s="6">
        <v>4</v>
      </c>
      <c r="F24" s="6">
        <v>30</v>
      </c>
      <c r="G24" s="6">
        <v>7</v>
      </c>
      <c r="H24" s="6">
        <v>22</v>
      </c>
      <c r="S24" s="10">
        <v>19</v>
      </c>
      <c r="T24" s="6">
        <v>8.4934328061126916</v>
      </c>
      <c r="U24" s="6">
        <v>44.258132350052335</v>
      </c>
      <c r="V24" s="6">
        <v>24.7776366879066</v>
      </c>
      <c r="W24" s="6">
        <v>11.190049388695515</v>
      </c>
      <c r="X24" s="6" t="str">
        <v>Cluster1</v>
      </c>
      <c r="Y24" s="6">
        <v>88.719251232767135</v>
      </c>
    </row>
    <row r="25" spans="2:25" ht="16.5" customHeight="1">
      <c r="B25" s="8">
        <v>19</v>
      </c>
      <c r="C25" s="6">
        <v>22</v>
      </c>
      <c r="D25" s="6">
        <v>1</v>
      </c>
      <c r="E25" s="6">
        <v>1</v>
      </c>
      <c r="F25" s="6">
        <v>32</v>
      </c>
      <c r="G25" s="6">
        <v>5</v>
      </c>
      <c r="H25" s="6">
        <v>21</v>
      </c>
      <c r="S25" s="10">
        <v>20</v>
      </c>
      <c r="T25" s="6">
        <v>5.5710886066925314</v>
      </c>
      <c r="U25" s="6">
        <v>41.387392030310146</v>
      </c>
      <c r="V25" s="6">
        <v>24.500700209641472</v>
      </c>
      <c r="W25" s="6">
        <v>9.314878208296804</v>
      </c>
      <c r="X25" s="6" t="str">
        <v>Cluster1</v>
      </c>
      <c r="Y25" s="6">
        <v>80.774059054940963</v>
      </c>
    </row>
    <row r="26" spans="2:25" ht="16.5" customHeight="1">
      <c r="B26" s="8">
        <v>20</v>
      </c>
      <c r="C26" s="6">
        <v>25</v>
      </c>
      <c r="D26" s="6">
        <v>3</v>
      </c>
      <c r="E26" s="6">
        <v>2</v>
      </c>
      <c r="F26" s="6">
        <v>32</v>
      </c>
      <c r="G26" s="6">
        <v>7</v>
      </c>
      <c r="H26" s="6">
        <v>19</v>
      </c>
      <c r="S26" s="10">
        <v>21</v>
      </c>
      <c r="T26" s="6">
        <v>0.19590142209359976</v>
      </c>
      <c r="U26" s="6">
        <v>36.3640881220024</v>
      </c>
      <c r="V26" s="6">
        <v>26.859857772292987</v>
      </c>
      <c r="W26" s="6">
        <v>10.974804301053419</v>
      </c>
      <c r="X26" s="6" t="str">
        <v>Cluster1</v>
      </c>
      <c r="Y26" s="6">
        <v>74.394651617442406</v>
      </c>
    </row>
    <row r="27" spans="2:25" ht="16.5" customHeight="1">
      <c r="B27" s="8">
        <v>21</v>
      </c>
      <c r="C27" s="6">
        <v>30</v>
      </c>
      <c r="D27" s="6">
        <v>4</v>
      </c>
      <c r="E27" s="6">
        <v>1</v>
      </c>
      <c r="F27" s="6">
        <v>33</v>
      </c>
      <c r="G27" s="6">
        <v>6</v>
      </c>
      <c r="H27" s="6">
        <v>21</v>
      </c>
      <c r="S27" s="10">
        <v>22</v>
      </c>
      <c r="T27" s="6">
        <v>21.137242074562259</v>
      </c>
      <c r="U27" s="6">
        <v>56.491630538398425</v>
      </c>
      <c r="V27" s="6">
        <v>11.235657123959623</v>
      </c>
      <c r="W27" s="6">
        <v>12.229813175845688</v>
      </c>
      <c r="X27" s="6" t="str">
        <v>Cluster3</v>
      </c>
      <c r="Y27" s="6">
        <v>101.09434291276601</v>
      </c>
    </row>
    <row r="28" spans="2:25" ht="16.5" customHeight="1">
      <c r="B28" s="8">
        <v>22</v>
      </c>
      <c r="C28" s="6">
        <v>11</v>
      </c>
      <c r="D28" s="6">
        <v>13</v>
      </c>
      <c r="E28" s="6">
        <v>4</v>
      </c>
      <c r="F28" s="6">
        <v>33</v>
      </c>
      <c r="G28" s="6">
        <v>5</v>
      </c>
      <c r="H28" s="6">
        <v>20</v>
      </c>
      <c r="S28" s="10">
        <v>23</v>
      </c>
      <c r="T28" s="6">
        <v>28.832589769390854</v>
      </c>
      <c r="U28" s="6">
        <v>58.307350709231926</v>
      </c>
      <c r="V28" s="6">
        <v>11.978887964806503</v>
      </c>
      <c r="W28" s="6">
        <v>18.193280472529747</v>
      </c>
      <c r="X28" s="6" t="str">
        <v>Cluster3</v>
      </c>
      <c r="Y28" s="6">
        <v>117.31210891595903</v>
      </c>
    </row>
    <row r="29" spans="2:25" ht="16.5" customHeight="1">
      <c r="B29" s="8">
        <v>23</v>
      </c>
      <c r="C29" s="6">
        <v>14</v>
      </c>
      <c r="D29" s="6">
        <v>24</v>
      </c>
      <c r="E29" s="6">
        <v>14</v>
      </c>
      <c r="F29" s="6">
        <v>30</v>
      </c>
      <c r="G29" s="6">
        <v>8</v>
      </c>
      <c r="H29" s="6">
        <v>21</v>
      </c>
      <c r="S29" s="10">
        <v>24</v>
      </c>
      <c r="T29" s="6">
        <v>40.706136002209107</v>
      </c>
      <c r="U29" s="6">
        <v>65.566755364723235</v>
      </c>
      <c r="V29" s="6">
        <v>19.826115473012528</v>
      </c>
      <c r="W29" s="6">
        <v>30.729645476757618</v>
      </c>
      <c r="X29" s="6" t="str">
        <v>Cluster3</v>
      </c>
      <c r="Y29" s="6">
        <v>156.82865231670249</v>
      </c>
    </row>
    <row r="30" spans="2:25" ht="16.5" customHeight="1">
      <c r="B30" s="8">
        <v>24</v>
      </c>
      <c r="C30" s="6">
        <v>14</v>
      </c>
      <c r="D30" s="6">
        <v>40</v>
      </c>
      <c r="E30" s="6">
        <v>10</v>
      </c>
      <c r="F30" s="6">
        <v>31</v>
      </c>
      <c r="G30" s="6">
        <v>11</v>
      </c>
      <c r="H30" s="6">
        <v>21</v>
      </c>
      <c r="S30" s="10">
        <v>25</v>
      </c>
      <c r="T30" s="6">
        <v>25.552306939406805</v>
      </c>
      <c r="U30" s="6">
        <v>11.989384557586682</v>
      </c>
      <c r="V30" s="6">
        <v>48.769302345385007</v>
      </c>
      <c r="W30" s="6">
        <v>34.0437135330099</v>
      </c>
      <c r="X30" s="6" t="str">
        <v>Cluster2</v>
      </c>
      <c r="Y30" s="6">
        <v>120.35470737538839</v>
      </c>
    </row>
    <row r="31" spans="2:25" ht="16.5" customHeight="1">
      <c r="B31" s="8">
        <v>25</v>
      </c>
      <c r="C31" s="6">
        <v>55</v>
      </c>
      <c r="D31" s="6">
        <v>1</v>
      </c>
      <c r="E31" s="6">
        <v>1</v>
      </c>
      <c r="F31" s="6">
        <v>32</v>
      </c>
      <c r="G31" s="6">
        <v>9</v>
      </c>
      <c r="H31" s="6">
        <v>20</v>
      </c>
      <c r="S31" s="10">
        <v>26</v>
      </c>
      <c r="T31" s="6">
        <v>59.611519450750883</v>
      </c>
      <c r="U31" s="6">
        <v>73.262547493301838</v>
      </c>
      <c r="V31" s="6">
        <v>43.920383090815911</v>
      </c>
      <c r="W31" s="6">
        <v>52.447627344962569</v>
      </c>
      <c r="X31" s="6" t="str">
        <v>Cluster3</v>
      </c>
      <c r="Y31" s="6">
        <v>229.24207737983119</v>
      </c>
    </row>
    <row r="32" spans="2:25" ht="16.5" customHeight="1">
      <c r="B32" s="8">
        <v>26</v>
      </c>
      <c r="C32" s="6">
        <v>27</v>
      </c>
      <c r="D32" s="6">
        <v>63</v>
      </c>
      <c r="E32" s="6">
        <v>1</v>
      </c>
      <c r="F32" s="6">
        <v>36</v>
      </c>
      <c r="G32" s="6">
        <v>12</v>
      </c>
      <c r="H32" s="6">
        <v>17</v>
      </c>
      <c r="S32" s="10">
        <v>27</v>
      </c>
      <c r="T32" s="6">
        <v>4.1157166311109323</v>
      </c>
      <c r="U32" s="6">
        <v>35.511133572771797</v>
      </c>
      <c r="V32" s="6">
        <v>25.837538316849017</v>
      </c>
      <c r="W32" s="6">
        <v>10.392752048492483</v>
      </c>
      <c r="X32" s="6" t="str">
        <v>Cluster1</v>
      </c>
      <c r="Y32" s="6">
        <v>75.857140569224228</v>
      </c>
    </row>
    <row r="33" spans="2:25" ht="16.5" customHeight="1">
      <c r="B33" s="8">
        <v>27</v>
      </c>
      <c r="C33" s="6">
        <v>31</v>
      </c>
      <c r="D33" s="6">
        <v>6</v>
      </c>
      <c r="E33" s="6">
        <v>2</v>
      </c>
      <c r="F33" s="6">
        <v>30</v>
      </c>
      <c r="G33" s="6">
        <v>5</v>
      </c>
      <c r="H33" s="6">
        <v>22</v>
      </c>
      <c r="S33" s="10">
        <v>28</v>
      </c>
      <c r="T33" s="6">
        <v>17.371775962293487</v>
      </c>
      <c r="U33" s="6">
        <v>53.359196536185934</v>
      </c>
      <c r="V33" s="6">
        <v>21.928831104318501</v>
      </c>
      <c r="W33" s="6">
        <v>13.937538379660307</v>
      </c>
      <c r="X33" s="6" t="str">
        <v>Cluster4</v>
      </c>
      <c r="Y33" s="6">
        <v>106.59734198245823</v>
      </c>
    </row>
    <row r="34" spans="2:25" ht="16.5" customHeight="1">
      <c r="B34" s="8">
        <v>28</v>
      </c>
      <c r="C34" s="6">
        <v>13</v>
      </c>
      <c r="D34" s="6">
        <v>2</v>
      </c>
      <c r="E34" s="6">
        <v>4</v>
      </c>
      <c r="F34" s="6">
        <v>32</v>
      </c>
      <c r="G34" s="6">
        <v>5</v>
      </c>
      <c r="H34" s="6">
        <v>23</v>
      </c>
      <c r="S34" s="10">
        <v>29</v>
      </c>
      <c r="T34" s="6">
        <v>8.5802403814392925</v>
      </c>
      <c r="U34" s="6">
        <v>43.425672220109206</v>
      </c>
      <c r="V34" s="6">
        <v>25.664686247826026</v>
      </c>
      <c r="W34" s="6">
        <v>12.041227738264563</v>
      </c>
      <c r="X34" s="6" t="str">
        <v>Cluster1</v>
      </c>
      <c r="Y34" s="6">
        <v>89.711826587639095</v>
      </c>
    </row>
    <row r="35" spans="2:25" ht="16.5" customHeight="1">
      <c r="B35" s="8">
        <v>29</v>
      </c>
      <c r="C35" s="6">
        <v>23</v>
      </c>
      <c r="D35" s="6">
        <v>1</v>
      </c>
      <c r="E35" s="6">
        <v>1</v>
      </c>
      <c r="F35" s="6">
        <v>33</v>
      </c>
      <c r="G35" s="6">
        <v>3</v>
      </c>
      <c r="H35" s="6">
        <v>24</v>
      </c>
      <c r="S35" s="10">
        <v>30</v>
      </c>
      <c r="T35" s="6">
        <v>32.344172452445129</v>
      </c>
      <c r="U35" s="6">
        <v>6.3233717774161571</v>
      </c>
      <c r="V35" s="6">
        <v>53.664266244795769</v>
      </c>
      <c r="W35" s="6">
        <v>39.994873736893815</v>
      </c>
      <c r="X35" s="6" t="str">
        <v>Cluster2</v>
      </c>
      <c r="Y35" s="6">
        <v>132.32668421155088</v>
      </c>
    </row>
    <row r="36" spans="2:25" ht="16.5" customHeight="1">
      <c r="B36" s="8">
        <v>30</v>
      </c>
      <c r="C36" s="6">
        <v>62</v>
      </c>
      <c r="D36" s="6">
        <v>4</v>
      </c>
      <c r="E36" s="6">
        <v>2</v>
      </c>
      <c r="F36" s="6">
        <v>32</v>
      </c>
      <c r="G36" s="6">
        <v>7</v>
      </c>
      <c r="H36" s="6">
        <v>18</v>
      </c>
      <c r="S36" s="10">
        <v>31</v>
      </c>
      <c r="T36" s="6">
        <v>22.338579973410017</v>
      </c>
      <c r="U36" s="6">
        <v>44.564822431637012</v>
      </c>
      <c r="V36" s="6">
        <v>21.031697643135217</v>
      </c>
      <c r="W36" s="6">
        <v>16.16876715759874</v>
      </c>
      <c r="X36" s="6" t="str">
        <v>Cluster4</v>
      </c>
      <c r="Y36" s="6">
        <v>104.10386720578099</v>
      </c>
    </row>
    <row r="37" spans="2:25" ht="16.5" customHeight="1">
      <c r="B37" s="8">
        <v>31</v>
      </c>
      <c r="C37" s="6">
        <v>29</v>
      </c>
      <c r="D37" s="6">
        <v>24</v>
      </c>
      <c r="E37" s="6">
        <v>7</v>
      </c>
      <c r="F37" s="6">
        <v>34</v>
      </c>
      <c r="G37" s="6">
        <v>11</v>
      </c>
      <c r="H37" s="6">
        <v>27</v>
      </c>
      <c r="S37" s="10">
        <v>32</v>
      </c>
      <c r="T37" s="6">
        <v>22.80003538827911</v>
      </c>
      <c r="U37" s="6">
        <v>29.570097509746926</v>
      </c>
      <c r="V37" s="6">
        <v>36.310297026871439</v>
      </c>
      <c r="W37" s="6">
        <v>24.142870256540629</v>
      </c>
      <c r="X37" s="6" t="str">
        <v>Cluster1</v>
      </c>
      <c r="Y37" s="6">
        <v>112.82330018143811</v>
      </c>
    </row>
    <row r="38" spans="2:25" ht="16.5" customHeight="1">
      <c r="B38" s="8">
        <v>32</v>
      </c>
      <c r="C38" s="6">
        <v>44</v>
      </c>
      <c r="D38" s="6">
        <v>14</v>
      </c>
      <c r="E38" s="6">
        <v>15</v>
      </c>
      <c r="F38" s="6">
        <v>33</v>
      </c>
      <c r="G38" s="6">
        <v>10</v>
      </c>
      <c r="H38" s="6">
        <v>24</v>
      </c>
      <c r="S38" s="10">
        <v>33</v>
      </c>
      <c r="T38" s="6">
        <v>14.49711807710011</v>
      </c>
      <c r="U38" s="6">
        <v>50.560145026363173</v>
      </c>
      <c r="V38" s="6">
        <v>19.265423615796053</v>
      </c>
      <c r="W38" s="6">
        <v>10.604292762535298</v>
      </c>
      <c r="X38" s="6" t="str">
        <v>Cluster4</v>
      </c>
      <c r="Y38" s="6">
        <v>94.926979481794632</v>
      </c>
    </row>
    <row r="39" spans="2:25" ht="16.5" customHeight="1">
      <c r="B39" s="8">
        <v>33</v>
      </c>
      <c r="C39" s="6">
        <v>16</v>
      </c>
      <c r="D39" s="6">
        <v>5</v>
      </c>
      <c r="E39" s="6">
        <v>2</v>
      </c>
      <c r="F39" s="6">
        <v>32</v>
      </c>
      <c r="G39" s="6">
        <v>6</v>
      </c>
      <c r="H39" s="6">
        <v>17</v>
      </c>
      <c r="S39" s="10">
        <v>34</v>
      </c>
      <c r="T39" s="6">
        <v>16.949683079152923</v>
      </c>
      <c r="U39" s="6">
        <v>53.277775116707552</v>
      </c>
      <c r="V39" s="6">
        <v>20.738843523550997</v>
      </c>
      <c r="W39" s="6">
        <v>13.631013239592084</v>
      </c>
      <c r="X39" s="6" t="str">
        <v>Cluster4</v>
      </c>
      <c r="Y39" s="6">
        <v>104.59731495900355</v>
      </c>
    </row>
    <row r="40" spans="2:25" ht="16.5" customHeight="1">
      <c r="B40" s="8">
        <v>34</v>
      </c>
      <c r="C40" s="6">
        <v>13</v>
      </c>
      <c r="D40" s="6">
        <v>3</v>
      </c>
      <c r="E40" s="6">
        <v>1</v>
      </c>
      <c r="F40" s="6">
        <v>32</v>
      </c>
      <c r="G40" s="6">
        <v>5</v>
      </c>
      <c r="H40" s="6">
        <v>20</v>
      </c>
      <c r="S40" s="10">
        <v>35</v>
      </c>
      <c r="T40" s="6">
        <v>11.141074129363503</v>
      </c>
      <c r="U40" s="6">
        <v>27.016119977748769</v>
      </c>
      <c r="V40" s="6">
        <v>33.709316781884546</v>
      </c>
      <c r="W40" s="6">
        <v>18.328813573057221</v>
      </c>
      <c r="X40" s="6" t="str">
        <v>Cluster1</v>
      </c>
      <c r="Y40" s="6">
        <v>90.195324462054046</v>
      </c>
    </row>
    <row r="41" spans="2:25" ht="16.5" customHeight="1">
      <c r="B41" s="8">
        <v>35</v>
      </c>
      <c r="C41" s="6">
        <v>40</v>
      </c>
      <c r="D41" s="6">
        <v>6</v>
      </c>
      <c r="E41" s="6">
        <v>3</v>
      </c>
      <c r="F41" s="6">
        <v>33</v>
      </c>
      <c r="G41" s="6">
        <v>9</v>
      </c>
      <c r="H41" s="6">
        <v>23</v>
      </c>
      <c r="S41" s="10">
        <v>36</v>
      </c>
      <c r="T41" s="6">
        <v>29.770187800100672</v>
      </c>
      <c r="U41" s="6">
        <v>63.935941350410729</v>
      </c>
      <c r="V41" s="6">
        <v>8.2537481851555352</v>
      </c>
      <c r="W41" s="6">
        <v>20.280886741508546</v>
      </c>
      <c r="X41" s="6" t="str">
        <v>Cluster3</v>
      </c>
      <c r="Y41" s="6">
        <v>122.24076407717547</v>
      </c>
    </row>
    <row r="42" spans="2:25" ht="16.5" customHeight="1">
      <c r="B42" s="8">
        <v>36</v>
      </c>
      <c r="C42" s="6">
        <v>5</v>
      </c>
      <c r="D42" s="6">
        <v>20</v>
      </c>
      <c r="E42" s="6">
        <v>2</v>
      </c>
      <c r="F42" s="6">
        <v>31</v>
      </c>
      <c r="G42" s="6">
        <v>4</v>
      </c>
      <c r="H42" s="6">
        <v>19</v>
      </c>
      <c r="S42" s="10">
        <v>37</v>
      </c>
      <c r="T42" s="6">
        <v>5.4460708962017179</v>
      </c>
      <c r="U42" s="6">
        <v>40.500410705169642</v>
      </c>
      <c r="V42" s="6">
        <v>27.233244680722578</v>
      </c>
      <c r="W42" s="6">
        <v>11.679366576018561</v>
      </c>
      <c r="X42" s="6" t="str">
        <v>Cluster1</v>
      </c>
      <c r="Y42" s="6">
        <v>84.859092858112504</v>
      </c>
    </row>
    <row r="43" spans="2:25" ht="16.5" customHeight="1">
      <c r="B43" s="8">
        <v>37</v>
      </c>
      <c r="C43" s="6">
        <v>26</v>
      </c>
      <c r="D43" s="6">
        <v>1</v>
      </c>
      <c r="E43" s="6">
        <v>2</v>
      </c>
      <c r="F43" s="6">
        <v>35</v>
      </c>
      <c r="G43" s="6">
        <v>7</v>
      </c>
      <c r="H43" s="6">
        <v>21</v>
      </c>
      <c r="S43" s="10">
        <v>38</v>
      </c>
      <c r="T43" s="6">
        <v>22.346547333787917</v>
      </c>
      <c r="U43" s="6">
        <v>58.576178366044267</v>
      </c>
      <c r="V43" s="6">
        <v>21.925636605523817</v>
      </c>
      <c r="W43" s="6">
        <v>17.493135007656967</v>
      </c>
      <c r="X43" s="6" t="str">
        <v>Cluster4</v>
      </c>
      <c r="Y43" s="6">
        <v>120.34149731301298</v>
      </c>
    </row>
    <row r="44" spans="2:25" ht="16.5" customHeight="1">
      <c r="B44" s="8">
        <v>38</v>
      </c>
      <c r="C44" s="6">
        <v>8</v>
      </c>
      <c r="D44" s="6">
        <v>3</v>
      </c>
      <c r="E44" s="6">
        <v>5</v>
      </c>
      <c r="F44" s="6">
        <v>35</v>
      </c>
      <c r="G44" s="6">
        <v>7</v>
      </c>
      <c r="H44" s="6">
        <v>20</v>
      </c>
      <c r="S44" s="10">
        <v>39</v>
      </c>
      <c r="T44" s="6">
        <v>23.754629519924002</v>
      </c>
      <c r="U44" s="6">
        <v>55.096726851299302</v>
      </c>
      <c r="V44" s="6">
        <v>15.086694015680397</v>
      </c>
      <c r="W44" s="6">
        <v>13.982227830685135</v>
      </c>
      <c r="X44" s="6" t="str">
        <v>Cluster4</v>
      </c>
      <c r="Y44" s="6">
        <v>107.92027821758883</v>
      </c>
    </row>
    <row r="45" spans="2:25" ht="16.5" customHeight="1">
      <c r="B45" s="8">
        <v>39</v>
      </c>
      <c r="C45" s="6">
        <v>15</v>
      </c>
      <c r="D45" s="6">
        <v>16</v>
      </c>
      <c r="E45" s="6">
        <v>15</v>
      </c>
      <c r="F45" s="6">
        <v>32</v>
      </c>
      <c r="G45" s="6">
        <v>8</v>
      </c>
      <c r="H45" s="6">
        <v>20</v>
      </c>
      <c r="S45" s="10">
        <v>40</v>
      </c>
      <c r="T45" s="6">
        <v>18.622574815077293</v>
      </c>
      <c r="U45" s="6">
        <v>18.622575338515055</v>
      </c>
      <c r="V45" s="6">
        <v>42.877633003868951</v>
      </c>
      <c r="W45" s="6">
        <v>27.554266878647027</v>
      </c>
      <c r="X45" s="6" t="str">
        <v>Cluster1</v>
      </c>
      <c r="Y45" s="6">
        <v>107.67705003610833</v>
      </c>
    </row>
    <row r="46" spans="2:25" ht="16.5" customHeight="1">
      <c r="B46" s="8">
        <v>40</v>
      </c>
      <c r="C46" s="6">
        <v>48</v>
      </c>
      <c r="D46" s="6">
        <v>1</v>
      </c>
      <c r="E46" s="6">
        <v>1</v>
      </c>
      <c r="F46" s="6">
        <v>33</v>
      </c>
      <c r="G46" s="6">
        <v>8</v>
      </c>
      <c r="H46" s="6">
        <v>23</v>
      </c>
      <c r="S46" s="10">
        <v>41</v>
      </c>
      <c r="T46" s="6">
        <v>57.042463769936106</v>
      </c>
      <c r="U46" s="6">
        <v>80.378499019082412</v>
      </c>
      <c r="V46" s="6">
        <v>33.316547404700138</v>
      </c>
      <c r="W46" s="6">
        <v>47.660391562201724</v>
      </c>
      <c r="X46" s="6" t="str">
        <v>Cluster3</v>
      </c>
      <c r="Y46" s="6">
        <v>218.39790175592037</v>
      </c>
    </row>
    <row r="47" spans="2:25" ht="16.5" customHeight="1">
      <c r="B47" s="8">
        <v>41</v>
      </c>
      <c r="C47" s="6">
        <v>7</v>
      </c>
      <c r="D47" s="6">
        <v>56</v>
      </c>
      <c r="E47" s="6">
        <v>1</v>
      </c>
      <c r="F47" s="6">
        <v>30</v>
      </c>
      <c r="G47" s="6">
        <v>5</v>
      </c>
      <c r="H47" s="6">
        <v>17</v>
      </c>
      <c r="S47" s="10">
        <v>42</v>
      </c>
      <c r="T47" s="6">
        <v>29.188602398547879</v>
      </c>
      <c r="U47" s="6">
        <v>61.446987964640265</v>
      </c>
      <c r="V47" s="6">
        <v>10.787241693245614</v>
      </c>
      <c r="W47" s="6">
        <v>18.538024974482742</v>
      </c>
      <c r="X47" s="6" t="str">
        <v>Cluster3</v>
      </c>
      <c r="Y47" s="6">
        <v>119.9608570309165</v>
      </c>
    </row>
    <row r="48" spans="2:25" ht="16.5" customHeight="1">
      <c r="B48" s="8">
        <v>42</v>
      </c>
      <c r="C48" s="6">
        <v>9</v>
      </c>
      <c r="D48" s="6">
        <v>21</v>
      </c>
      <c r="E48" s="6">
        <v>12</v>
      </c>
      <c r="F48" s="6">
        <v>31</v>
      </c>
      <c r="G48" s="6">
        <v>8</v>
      </c>
      <c r="H48" s="6">
        <v>20</v>
      </c>
      <c r="S48" s="10">
        <v>43</v>
      </c>
      <c r="T48" s="6">
        <v>36.662693179553642</v>
      </c>
      <c r="U48" s="6">
        <v>64.08816570669039</v>
      </c>
      <c r="V48" s="6">
        <v>30.662387445913826</v>
      </c>
      <c r="W48" s="6">
        <v>29.393284228248508</v>
      </c>
      <c r="X48" s="6" t="str">
        <v>Cluster4</v>
      </c>
      <c r="Y48" s="6">
        <v>160.80653056040637</v>
      </c>
    </row>
    <row r="49" spans="2:25" ht="16.5" customHeight="1">
      <c r="B49" s="8">
        <v>43</v>
      </c>
      <c r="C49" s="6">
        <v>11</v>
      </c>
      <c r="D49" s="6">
        <v>14</v>
      </c>
      <c r="E49" s="6">
        <v>29</v>
      </c>
      <c r="F49" s="6">
        <v>36</v>
      </c>
      <c r="G49" s="6">
        <v>6</v>
      </c>
      <c r="H49" s="6">
        <v>31</v>
      </c>
      <c r="S49" s="10">
        <v>44</v>
      </c>
      <c r="T49" s="6">
        <v>39.275997245309348</v>
      </c>
      <c r="U49" s="6">
        <v>69.113532143742717</v>
      </c>
      <c r="V49" s="6">
        <v>20.308278388356332</v>
      </c>
      <c r="W49" s="6">
        <v>28.822859065277271</v>
      </c>
      <c r="X49" s="6" t="str">
        <v>Cluster3</v>
      </c>
      <c r="Y49" s="6">
        <v>157.52066684268567</v>
      </c>
    </row>
    <row r="50" spans="2:25" ht="16.5" customHeight="1">
      <c r="B50" s="8">
        <v>44</v>
      </c>
      <c r="C50" s="6">
        <v>5</v>
      </c>
      <c r="D50" s="6">
        <v>27</v>
      </c>
      <c r="E50" s="6">
        <v>20</v>
      </c>
      <c r="F50" s="6">
        <v>30</v>
      </c>
      <c r="G50" s="6">
        <v>8</v>
      </c>
      <c r="H50" s="6">
        <v>26</v>
      </c>
      <c r="S50" s="10">
        <v>45</v>
      </c>
      <c r="T50" s="6">
        <v>23.811761872702121</v>
      </c>
      <c r="U50" s="6">
        <v>57.880018685152606</v>
      </c>
      <c r="V50" s="6">
        <v>23.826313630265229</v>
      </c>
      <c r="W50" s="6">
        <v>18.425107102609605</v>
      </c>
      <c r="X50" s="6" t="str">
        <v>Cluster4</v>
      </c>
      <c r="Y50" s="6">
        <v>123.94320129072956</v>
      </c>
    </row>
    <row r="51" spans="2:25" ht="16.5" customHeight="1">
      <c r="B51" s="8">
        <v>45</v>
      </c>
      <c r="C51" s="6">
        <v>10</v>
      </c>
      <c r="D51" s="6">
        <v>4</v>
      </c>
      <c r="E51" s="6">
        <v>12</v>
      </c>
      <c r="F51" s="6">
        <v>35</v>
      </c>
      <c r="G51" s="6">
        <v>5</v>
      </c>
      <c r="H51" s="6">
        <v>28</v>
      </c>
      <c r="S51" s="10">
        <v>46</v>
      </c>
      <c r="T51" s="6">
        <v>10.080687389092279</v>
      </c>
      <c r="U51" s="6">
        <v>46.366693082416447</v>
      </c>
      <c r="V51" s="6">
        <v>21.324056619927912</v>
      </c>
      <c r="W51" s="6">
        <v>9.007459533283745</v>
      </c>
      <c r="X51" s="6" t="str">
        <v>Cluster4</v>
      </c>
      <c r="Y51" s="6">
        <v>86.778896624720389</v>
      </c>
    </row>
    <row r="52" spans="2:25" ht="16.5" customHeight="1">
      <c r="B52" s="8">
        <v>46</v>
      </c>
      <c r="C52" s="6">
        <v>20</v>
      </c>
      <c r="D52" s="6">
        <v>4</v>
      </c>
      <c r="E52" s="6">
        <v>1</v>
      </c>
      <c r="F52" s="6">
        <v>32</v>
      </c>
      <c r="G52" s="6">
        <v>6</v>
      </c>
      <c r="H52" s="6">
        <v>19</v>
      </c>
      <c r="S52" s="10">
        <v>47</v>
      </c>
      <c r="T52" s="6">
        <v>36.213340174176565</v>
      </c>
      <c r="U52" s="6">
        <v>67.988449904448331</v>
      </c>
      <c r="V52" s="6">
        <v>10.229328955615802</v>
      </c>
      <c r="W52" s="6">
        <v>26.249124735932075</v>
      </c>
      <c r="X52" s="6" t="str">
        <v>Cluster3</v>
      </c>
      <c r="Y52" s="6">
        <v>140.68024377017278</v>
      </c>
    </row>
    <row r="53" spans="2:25" ht="16.5" customHeight="1">
      <c r="B53" s="8">
        <v>47</v>
      </c>
      <c r="C53" s="6">
        <v>4</v>
      </c>
      <c r="D53" s="6">
        <v>29</v>
      </c>
      <c r="E53" s="6">
        <v>2</v>
      </c>
      <c r="F53" s="6">
        <v>31</v>
      </c>
      <c r="G53" s="6">
        <v>3</v>
      </c>
      <c r="H53" s="6">
        <v>19</v>
      </c>
      <c r="S53" s="10">
        <v>48</v>
      </c>
      <c r="T53" s="6">
        <v>16.022905185745536</v>
      </c>
      <c r="U53" s="6">
        <v>52.324538527930976</v>
      </c>
      <c r="V53" s="6">
        <v>20.902098717816585</v>
      </c>
      <c r="W53" s="6">
        <v>13.138426192231572</v>
      </c>
      <c r="X53" s="6" t="str">
        <v>Cluster4</v>
      </c>
      <c r="Y53" s="6">
        <v>102.38796862372467</v>
      </c>
    </row>
    <row r="54" spans="2:25" ht="16.5" customHeight="1">
      <c r="B54" s="8">
        <v>48</v>
      </c>
      <c r="C54" s="6">
        <v>14</v>
      </c>
      <c r="D54" s="6">
        <v>3</v>
      </c>
      <c r="E54" s="6">
        <v>1</v>
      </c>
      <c r="F54" s="6">
        <v>33</v>
      </c>
      <c r="G54" s="6">
        <v>4</v>
      </c>
      <c r="H54" s="6">
        <v>20</v>
      </c>
      <c r="S54" s="10">
        <v>49</v>
      </c>
      <c r="T54" s="6">
        <v>16.873505186219969</v>
      </c>
      <c r="U54" s="6">
        <v>52.49723387045406</v>
      </c>
      <c r="V54" s="6">
        <v>20.602236671490367</v>
      </c>
      <c r="W54" s="6">
        <v>12.958585960408746</v>
      </c>
      <c r="X54" s="6" t="str">
        <v>Cluster4</v>
      </c>
      <c r="Y54" s="6">
        <v>102.93156168857313</v>
      </c>
    </row>
    <row r="55" spans="2:25" ht="16.5" customHeight="1">
      <c r="B55" s="8">
        <v>49</v>
      </c>
      <c r="C55" s="6">
        <v>14</v>
      </c>
      <c r="D55" s="6">
        <v>3</v>
      </c>
      <c r="E55" s="6">
        <v>4</v>
      </c>
      <c r="F55" s="6">
        <v>29</v>
      </c>
      <c r="G55" s="6">
        <v>6</v>
      </c>
      <c r="H55" s="6">
        <v>18</v>
      </c>
      <c r="X55" s="17" t="s">
        <v>15</v>
      </c>
      <c r="Y55" s="18">
        <f>SUM(Y6:Y54)</f>
        <v>6022.5317498959284</v>
      </c>
    </row>
    <row r="56" spans="2:25" ht="16.5" customHeight="1">
      <c r="X56" s="17"/>
      <c r="Y56" s="18"/>
    </row>
  </sheetData>
  <dataConsolidate/>
  <mergeCells count="10">
    <mergeCell ref="X55:X56"/>
    <mergeCell ref="Y55:Y56"/>
    <mergeCell ref="J19:K19"/>
    <mergeCell ref="J18:K18"/>
    <mergeCell ref="A2:AC3"/>
    <mergeCell ref="K5:P5"/>
    <mergeCell ref="B5:H5"/>
    <mergeCell ref="K8:P8"/>
    <mergeCell ref="K11:P11"/>
    <mergeCell ref="K14:P14"/>
  </mergeCells>
  <conditionalFormatting sqref="T6:W54">
    <cfRule type="dataBar" priority="5">
      <dataBar>
        <cfvo type="min" val="0"/>
        <cfvo type="max" val="0"/>
        <color rgb="FF638EC6"/>
      </dataBar>
    </cfRule>
  </conditionalFormatting>
  <conditionalFormatting sqref="X6:X54">
    <cfRule type="containsText" dxfId="2" priority="1" operator="containsText" text="Cluster3">
      <formula>NOT(ISERROR(SEARCH("Cluster3",X6)))</formula>
    </cfRule>
    <cfRule type="containsText" dxfId="1" priority="2" operator="containsText" text="Cluster2">
      <formula>NOT(ISERROR(SEARCH("Cluster2",X6)))</formula>
    </cfRule>
    <cfRule type="containsText" dxfId="0" priority="3" operator="containsText" text="Cluster1">
      <formula>NOT(ISERROR(SEARCH("Cluster1",X6)))</formula>
    </cfRule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K-Means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Aravind</dc:creator>
  <cp:lastModifiedBy>Aravind</cp:lastModifiedBy>
  <dcterms:created xsi:type="dcterms:W3CDTF">2010-09-22T22:24:54Z</dcterms:created>
  <dcterms:modified xsi:type="dcterms:W3CDTF">2011-05-02T04:39:38Z</dcterms:modified>
</cp:coreProperties>
</file>