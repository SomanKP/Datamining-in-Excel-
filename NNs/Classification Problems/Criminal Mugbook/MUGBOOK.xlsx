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-15" windowWidth="9375" windowHeight="5475" activeTab="1"/>
  </bookViews>
  <sheets>
    <sheet name="Preprocessing" sheetId="3" r:id="rId1"/>
    <sheet name="Training" sheetId="2" r:id="rId2"/>
  </sheets>
  <definedNames>
    <definedName name="solver_adj" localSheetId="1" hidden="1">Training!$L$12:$P$17,Training!$L$21:$L$27,Training!$N$21:$N$27,Training!$P$21:$P$27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Training!$V$42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</definedNames>
  <calcPr calcId="124519"/>
</workbook>
</file>

<file path=xl/calcChain.xml><?xml version="1.0" encoding="utf-8"?>
<calcChain xmlns="http://schemas.openxmlformats.org/spreadsheetml/2006/main">
  <c r="L92" i="2"/>
  <c r="L94" s="1"/>
  <c r="N90"/>
  <c r="L90"/>
  <c r="J90"/>
  <c r="O73"/>
  <c r="O74"/>
  <c r="O75"/>
  <c r="O76"/>
  <c r="O77"/>
  <c r="O72"/>
  <c r="N29"/>
  <c r="P7" l="1"/>
  <c r="O7"/>
  <c r="M7"/>
  <c r="C15" l="1"/>
  <c r="C14"/>
  <c r="C12"/>
  <c r="C13"/>
  <c r="C11"/>
  <c r="C10"/>
  <c r="C9"/>
  <c r="C8"/>
  <c r="C7"/>
  <c r="N7" s="1"/>
  <c r="N89" l="1"/>
  <c r="L89"/>
  <c r="J89"/>
  <c r="V9" l="1"/>
  <c r="V32"/>
  <c r="V33"/>
  <c r="V34"/>
  <c r="V35"/>
  <c r="V36"/>
  <c r="V37"/>
  <c r="V38"/>
  <c r="V21"/>
  <c r="V22"/>
  <c r="V23"/>
  <c r="V24"/>
  <c r="V25"/>
  <c r="V26"/>
  <c r="V27"/>
  <c r="P29"/>
  <c r="U31" s="1"/>
  <c r="U20"/>
  <c r="L29"/>
  <c r="U8" s="1"/>
  <c r="V10"/>
  <c r="V11"/>
  <c r="V12"/>
  <c r="V13"/>
  <c r="V14"/>
  <c r="V15"/>
  <c r="Q15" l="1"/>
  <c r="Q14"/>
  <c r="Q16"/>
  <c r="Q13"/>
  <c r="Q17"/>
  <c r="Q12"/>
  <c r="N28" l="1"/>
  <c r="T20" s="1"/>
  <c r="V20" s="1"/>
  <c r="V28" s="1"/>
  <c r="P28"/>
  <c r="T31" s="1"/>
  <c r="V31" s="1"/>
  <c r="V39" s="1"/>
  <c r="L28"/>
  <c r="T8" s="1"/>
  <c r="V8" s="1"/>
  <c r="V16" s="1"/>
  <c r="V42" l="1"/>
</calcChain>
</file>

<file path=xl/sharedStrings.xml><?xml version="1.0" encoding="utf-8"?>
<sst xmlns="http://schemas.openxmlformats.org/spreadsheetml/2006/main" count="191" uniqueCount="78">
  <si>
    <t>Person</t>
  </si>
  <si>
    <t>ID</t>
  </si>
  <si>
    <t>Sex</t>
  </si>
  <si>
    <t>Age</t>
  </si>
  <si>
    <t>Color</t>
  </si>
  <si>
    <t>Weight</t>
  </si>
  <si>
    <t>Hal Weasel</t>
  </si>
  <si>
    <t>Male</t>
  </si>
  <si>
    <t>Medium</t>
  </si>
  <si>
    <t>Slim</t>
  </si>
  <si>
    <t>Fran Moll</t>
  </si>
  <si>
    <t>Female</t>
  </si>
  <si>
    <t>Light</t>
  </si>
  <si>
    <t>Jason Snake</t>
  </si>
  <si>
    <t>Heavy</t>
  </si>
  <si>
    <t>Erin Mugger</t>
  </si>
  <si>
    <t>Ian Stooge</t>
  </si>
  <si>
    <t>Dark</t>
  </si>
  <si>
    <t>Carol Shifty</t>
  </si>
  <si>
    <t>Corey Rat</t>
  </si>
  <si>
    <t>Mike Drifter</t>
  </si>
  <si>
    <t>Mr.X</t>
  </si>
  <si>
    <t>TEST</t>
  </si>
  <si>
    <t>OUTPUT</t>
  </si>
  <si>
    <t>HIDDEN LAYER</t>
  </si>
  <si>
    <t xml:space="preserve">bias </t>
  </si>
  <si>
    <t>w1</t>
  </si>
  <si>
    <t>w2</t>
  </si>
  <si>
    <t>w3</t>
  </si>
  <si>
    <t>response</t>
  </si>
  <si>
    <t>OUTPUT LAYER</t>
  </si>
  <si>
    <t>w4</t>
  </si>
  <si>
    <t>OBS</t>
  </si>
  <si>
    <t>ACTUAL</t>
  </si>
  <si>
    <t>DIFF^2</t>
  </si>
  <si>
    <t>SUM OF DIFF^2</t>
  </si>
  <si>
    <t>`</t>
  </si>
  <si>
    <t>Actual1</t>
  </si>
  <si>
    <t>Actual2</t>
  </si>
  <si>
    <t>Actual3</t>
  </si>
  <si>
    <t>RES1</t>
  </si>
  <si>
    <t xml:space="preserve">TOTAL SUM DIFF&gt; </t>
  </si>
  <si>
    <t>w5</t>
  </si>
  <si>
    <t>w6</t>
  </si>
  <si>
    <t>O/p Neuron 1</t>
  </si>
  <si>
    <t>O/p neuron 2</t>
  </si>
  <si>
    <t>O/p Neuron 3</t>
  </si>
  <si>
    <t>WHAT IF DATA TABLE</t>
  </si>
  <si>
    <t>Input Symbols</t>
  </si>
  <si>
    <t>ID bit 1</t>
  </si>
  <si>
    <t>ID bit 2</t>
  </si>
  <si>
    <t>ID bit 3</t>
  </si>
  <si>
    <t>ID merge</t>
  </si>
  <si>
    <t>O/P ID</t>
  </si>
  <si>
    <t>IDENTITY TAG BITS</t>
  </si>
  <si>
    <t>Tag bit 1</t>
  </si>
  <si>
    <t>Tag bit 2</t>
  </si>
  <si>
    <t>Tag bit 3</t>
  </si>
  <si>
    <t>OUTPUT TAG</t>
  </si>
  <si>
    <t>INPUT DATA</t>
  </si>
  <si>
    <t>MF
(SYMBOL)</t>
  </si>
  <si>
    <t>TRAINING DATA</t>
  </si>
  <si>
    <t>TEST DATA</t>
  </si>
  <si>
    <t>ASSOCIATIVE LEARNING</t>
  </si>
  <si>
    <r>
      <t xml:space="preserve">Weight
</t>
    </r>
    <r>
      <rPr>
        <sz val="10"/>
        <rFont val="Times New Roman"/>
        <family val="1"/>
      </rPr>
      <t>Slim=-1,
Medium=0,Heavy=1</t>
    </r>
  </si>
  <si>
    <r>
      <t xml:space="preserve">Color
</t>
    </r>
    <r>
      <rPr>
        <sz val="10"/>
        <rFont val="Times New Roman"/>
        <family val="1"/>
      </rPr>
      <t>(Light=-1 / Medium=0
/ Dark=1)</t>
    </r>
  </si>
  <si>
    <r>
      <t xml:space="preserve">Age
</t>
    </r>
    <r>
      <rPr>
        <sz val="10"/>
        <rFont val="Times New Roman"/>
        <family val="1"/>
      </rPr>
      <t>(Age will be
 normalized)</t>
    </r>
  </si>
  <si>
    <r>
      <t xml:space="preserve">Sex
</t>
    </r>
    <r>
      <rPr>
        <i/>
        <sz val="10"/>
        <rFont val="Times New Roman"/>
        <family val="1"/>
      </rPr>
      <t>(Male=0
/ Female=1)</t>
    </r>
  </si>
  <si>
    <t>PREPROCESSING</t>
  </si>
  <si>
    <t>Observation 
Index</t>
  </si>
  <si>
    <t>INPUT LAYER</t>
  </si>
  <si>
    <t>Hidden layer 
neuron no.</t>
  </si>
  <si>
    <t>Bias</t>
  </si>
  <si>
    <t>Response1</t>
  </si>
  <si>
    <t>Response2</t>
  </si>
  <si>
    <t>Response3</t>
  </si>
  <si>
    <t>Expected 1</t>
  </si>
  <si>
    <t>Criminal Mugbook</t>
  </si>
</sst>
</file>

<file path=xl/styles.xml><?xml version="1.0" encoding="utf-8"?>
<styleSheet xmlns="http://schemas.openxmlformats.org/spreadsheetml/2006/main">
  <fonts count="12">
    <font>
      <sz val="10"/>
      <name val="Helv"/>
    </font>
    <font>
      <b/>
      <sz val="1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i/>
      <sz val="10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b/>
      <sz val="12"/>
      <name val="Times New Roman"/>
      <family val="1"/>
    </font>
    <font>
      <b/>
      <sz val="10"/>
      <color rgb="FFFF0000"/>
      <name val="Times New Roman"/>
      <family val="1"/>
    </font>
    <font>
      <b/>
      <u/>
      <sz val="18"/>
      <name val="Times New Roman"/>
      <family val="1"/>
    </font>
    <font>
      <b/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6" xfId="0" applyFont="1" applyFill="1" applyBorder="1"/>
    <xf numFmtId="0" fontId="2" fillId="0" borderId="1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0" borderId="6" xfId="0" applyFont="1" applyBorder="1"/>
    <xf numFmtId="0" fontId="3" fillId="0" borderId="0" xfId="0" applyFont="1"/>
    <xf numFmtId="0" fontId="9" fillId="2" borderId="6" xfId="0" applyFont="1" applyFill="1" applyBorder="1"/>
    <xf numFmtId="0" fontId="2" fillId="6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11" fillId="4" borderId="6" xfId="0" applyFont="1" applyFill="1" applyBorder="1"/>
    <xf numFmtId="0" fontId="3" fillId="2" borderId="6" xfId="0" applyFont="1" applyFill="1" applyBorder="1"/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/>
    </xf>
    <xf numFmtId="0" fontId="11" fillId="4" borderId="15" xfId="0" applyFont="1" applyFill="1" applyBorder="1" applyAlignment="1">
      <alignment horizontal="center"/>
    </xf>
    <xf numFmtId="0" fontId="11" fillId="4" borderId="16" xfId="0" applyFont="1" applyFill="1" applyBorder="1" applyAlignment="1">
      <alignment horizontal="center"/>
    </xf>
    <xf numFmtId="0" fontId="4" fillId="6" borderId="6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0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16</xdr:row>
      <xdr:rowOff>171450</xdr:rowOff>
    </xdr:from>
    <xdr:to>
      <xdr:col>1</xdr:col>
      <xdr:colOff>180974</xdr:colOff>
      <xdr:row>19</xdr:row>
      <xdr:rowOff>9525</xdr:rowOff>
    </xdr:to>
    <xdr:sp macro="" textlink="">
      <xdr:nvSpPr>
        <xdr:cNvPr id="2" name="TextBox 1"/>
        <xdr:cNvSpPr txBox="1"/>
      </xdr:nvSpPr>
      <xdr:spPr>
        <a:xfrm>
          <a:off x="28574" y="3476625"/>
          <a:ext cx="1304925" cy="257175"/>
        </a:xfrm>
        <a:prstGeom prst="rect">
          <a:avLst/>
        </a:prstGeom>
        <a:ln/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Mr.</a:t>
          </a:r>
          <a:r>
            <a:rPr lang="en-US" sz="1100" baseline="0"/>
            <a:t> X is for testing</a:t>
          </a:r>
        </a:p>
        <a:p>
          <a:endParaRPr lang="en-US" sz="1100"/>
        </a:p>
      </xdr:txBody>
    </xdr:sp>
    <xdr:clientData/>
  </xdr:twoCellAnchor>
  <xdr:twoCellAnchor>
    <xdr:from>
      <xdr:col>0</xdr:col>
      <xdr:colOff>561975</xdr:colOff>
      <xdr:row>15</xdr:row>
      <xdr:rowOff>28575</xdr:rowOff>
    </xdr:from>
    <xdr:to>
      <xdr:col>0</xdr:col>
      <xdr:colOff>666750</xdr:colOff>
      <xdr:row>16</xdr:row>
      <xdr:rowOff>152400</xdr:rowOff>
    </xdr:to>
    <xdr:sp macro="" textlink="">
      <xdr:nvSpPr>
        <xdr:cNvPr id="3" name="Up Arrow 2"/>
        <xdr:cNvSpPr/>
      </xdr:nvSpPr>
      <xdr:spPr>
        <a:xfrm>
          <a:off x="561975" y="3124200"/>
          <a:ext cx="104775" cy="3333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L16"/>
  <sheetViews>
    <sheetView workbookViewId="0">
      <selection activeCell="A2" sqref="A2:L3"/>
    </sheetView>
  </sheetViews>
  <sheetFormatPr defaultColWidth="15.42578125" defaultRowHeight="12.75"/>
  <cols>
    <col min="1" max="1" width="16.28515625" customWidth="1"/>
    <col min="2" max="2" width="8.140625" customWidth="1"/>
    <col min="3" max="3" width="7.28515625" customWidth="1"/>
    <col min="4" max="12" width="16.7109375" customWidth="1"/>
  </cols>
  <sheetData>
    <row r="2" spans="1:12">
      <c r="A2" s="34" t="s">
        <v>63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</row>
    <row r="3" spans="1:12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9"/>
    </row>
    <row r="4" spans="1:12" ht="21" thickBot="1">
      <c r="A4" s="2"/>
      <c r="B4" s="2"/>
      <c r="C4" s="2"/>
      <c r="D4" s="2"/>
      <c r="E4" s="2"/>
      <c r="F4" s="2"/>
      <c r="G4" s="2"/>
      <c r="H4" s="2"/>
      <c r="I4" s="2"/>
      <c r="J4" s="1"/>
      <c r="K4" s="2"/>
      <c r="L4" s="2"/>
    </row>
    <row r="5" spans="1:12" ht="19.5" thickBot="1">
      <c r="A5" s="43" t="s">
        <v>68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5"/>
    </row>
    <row r="6" spans="1:12" ht="14.25">
      <c r="A6" s="48" t="s">
        <v>59</v>
      </c>
      <c r="B6" s="47"/>
      <c r="C6" s="47"/>
      <c r="D6" s="47"/>
      <c r="E6" s="47"/>
      <c r="F6" s="47"/>
      <c r="G6" s="47"/>
      <c r="H6" s="49" t="s">
        <v>58</v>
      </c>
      <c r="I6" s="47" t="s">
        <v>54</v>
      </c>
      <c r="J6" s="47"/>
      <c r="K6" s="47"/>
      <c r="L6" s="40" t="s">
        <v>60</v>
      </c>
    </row>
    <row r="7" spans="1:12" ht="60" customHeight="1">
      <c r="A7" s="5" t="s">
        <v>0</v>
      </c>
      <c r="B7" s="51" t="s">
        <v>1</v>
      </c>
      <c r="C7" s="52"/>
      <c r="D7" s="3" t="s">
        <v>67</v>
      </c>
      <c r="E7" s="3" t="s">
        <v>66</v>
      </c>
      <c r="F7" s="3" t="s">
        <v>65</v>
      </c>
      <c r="G7" s="3" t="s">
        <v>64</v>
      </c>
      <c r="H7" s="50"/>
      <c r="I7" s="4" t="s">
        <v>55</v>
      </c>
      <c r="J7" s="4" t="s">
        <v>56</v>
      </c>
      <c r="K7" s="4" t="s">
        <v>57</v>
      </c>
      <c r="L7" s="41"/>
    </row>
    <row r="8" spans="1:12" ht="16.5" customHeight="1">
      <c r="A8" s="8" t="s">
        <v>6</v>
      </c>
      <c r="B8" s="46">
        <v>1</v>
      </c>
      <c r="C8" s="46"/>
      <c r="D8" s="6" t="s">
        <v>7</v>
      </c>
      <c r="E8" s="6">
        <v>20</v>
      </c>
      <c r="F8" s="6" t="s">
        <v>8</v>
      </c>
      <c r="G8" s="6" t="s">
        <v>9</v>
      </c>
      <c r="H8" s="6">
        <v>1</v>
      </c>
      <c r="I8" s="6">
        <v>0</v>
      </c>
      <c r="J8" s="7">
        <v>0</v>
      </c>
      <c r="K8" s="7">
        <v>0</v>
      </c>
      <c r="L8" s="9" t="s">
        <v>61</v>
      </c>
    </row>
    <row r="9" spans="1:12" ht="16.5" customHeight="1">
      <c r="A9" s="8" t="s">
        <v>10</v>
      </c>
      <c r="B9" s="46">
        <v>2</v>
      </c>
      <c r="C9" s="46"/>
      <c r="D9" s="6" t="s">
        <v>11</v>
      </c>
      <c r="E9" s="6">
        <v>20</v>
      </c>
      <c r="F9" s="6" t="s">
        <v>12</v>
      </c>
      <c r="G9" s="6" t="s">
        <v>8</v>
      </c>
      <c r="H9" s="6">
        <v>2</v>
      </c>
      <c r="I9" s="6">
        <v>0</v>
      </c>
      <c r="J9" s="6">
        <v>0</v>
      </c>
      <c r="K9" s="6">
        <v>1</v>
      </c>
      <c r="L9" s="9" t="s">
        <v>61</v>
      </c>
    </row>
    <row r="10" spans="1:12" ht="16.5" customHeight="1">
      <c r="A10" s="8" t="s">
        <v>13</v>
      </c>
      <c r="B10" s="46">
        <v>3</v>
      </c>
      <c r="C10" s="46"/>
      <c r="D10" s="6" t="s">
        <v>7</v>
      </c>
      <c r="E10" s="6">
        <v>30</v>
      </c>
      <c r="F10" s="6" t="s">
        <v>12</v>
      </c>
      <c r="G10" s="6" t="s">
        <v>14</v>
      </c>
      <c r="H10" s="6">
        <v>3</v>
      </c>
      <c r="I10" s="6">
        <v>0</v>
      </c>
      <c r="J10" s="6">
        <v>1</v>
      </c>
      <c r="K10" s="6">
        <v>0</v>
      </c>
      <c r="L10" s="9" t="s">
        <v>61</v>
      </c>
    </row>
    <row r="11" spans="1:12" ht="16.5" customHeight="1">
      <c r="A11" s="8" t="s">
        <v>15</v>
      </c>
      <c r="B11" s="46">
        <v>4</v>
      </c>
      <c r="C11" s="46"/>
      <c r="D11" s="6" t="s">
        <v>11</v>
      </c>
      <c r="E11" s="6">
        <v>20</v>
      </c>
      <c r="F11" s="6" t="s">
        <v>8</v>
      </c>
      <c r="G11" s="6" t="s">
        <v>9</v>
      </c>
      <c r="H11" s="6">
        <v>4</v>
      </c>
      <c r="I11" s="6">
        <v>0</v>
      </c>
      <c r="J11" s="6">
        <v>1</v>
      </c>
      <c r="K11" s="6">
        <v>1</v>
      </c>
      <c r="L11" s="9" t="s">
        <v>61</v>
      </c>
    </row>
    <row r="12" spans="1:12" ht="16.5" customHeight="1">
      <c r="A12" s="8" t="s">
        <v>16</v>
      </c>
      <c r="B12" s="46">
        <v>5</v>
      </c>
      <c r="C12" s="46"/>
      <c r="D12" s="6" t="s">
        <v>7</v>
      </c>
      <c r="E12" s="6">
        <v>40</v>
      </c>
      <c r="F12" s="6" t="s">
        <v>17</v>
      </c>
      <c r="G12" s="6" t="s">
        <v>14</v>
      </c>
      <c r="H12" s="6">
        <v>5</v>
      </c>
      <c r="I12" s="6">
        <v>1</v>
      </c>
      <c r="J12" s="6">
        <v>0</v>
      </c>
      <c r="K12" s="6">
        <v>0</v>
      </c>
      <c r="L12" s="9" t="s">
        <v>61</v>
      </c>
    </row>
    <row r="13" spans="1:12" ht="16.5" customHeight="1">
      <c r="A13" s="8" t="s">
        <v>18</v>
      </c>
      <c r="B13" s="46">
        <v>6</v>
      </c>
      <c r="C13" s="46"/>
      <c r="D13" s="6" t="s">
        <v>11</v>
      </c>
      <c r="E13" s="6">
        <v>40</v>
      </c>
      <c r="F13" s="6" t="s">
        <v>12</v>
      </c>
      <c r="G13" s="6" t="s">
        <v>8</v>
      </c>
      <c r="H13" s="6">
        <v>6</v>
      </c>
      <c r="I13" s="6">
        <v>1</v>
      </c>
      <c r="J13" s="6">
        <v>0</v>
      </c>
      <c r="K13" s="6">
        <v>1</v>
      </c>
      <c r="L13" s="9" t="s">
        <v>61</v>
      </c>
    </row>
    <row r="14" spans="1:12" ht="16.5" customHeight="1">
      <c r="A14" s="8" t="s">
        <v>19</v>
      </c>
      <c r="B14" s="46">
        <v>7</v>
      </c>
      <c r="C14" s="46"/>
      <c r="D14" s="6" t="s">
        <v>7</v>
      </c>
      <c r="E14" s="6">
        <v>40</v>
      </c>
      <c r="F14" s="6" t="s">
        <v>17</v>
      </c>
      <c r="G14" s="6" t="s">
        <v>9</v>
      </c>
      <c r="H14" s="6">
        <v>7</v>
      </c>
      <c r="I14" s="6">
        <v>1</v>
      </c>
      <c r="J14" s="6">
        <v>1</v>
      </c>
      <c r="K14" s="6">
        <v>0</v>
      </c>
      <c r="L14" s="9" t="s">
        <v>61</v>
      </c>
    </row>
    <row r="15" spans="1:12" ht="16.5" customHeight="1">
      <c r="A15" s="8" t="s">
        <v>20</v>
      </c>
      <c r="B15" s="46">
        <v>8</v>
      </c>
      <c r="C15" s="46"/>
      <c r="D15" s="6" t="s">
        <v>7</v>
      </c>
      <c r="E15" s="6">
        <v>30</v>
      </c>
      <c r="F15" s="6" t="s">
        <v>17</v>
      </c>
      <c r="G15" s="6" t="s">
        <v>14</v>
      </c>
      <c r="H15" s="6">
        <v>8</v>
      </c>
      <c r="I15" s="6">
        <v>1</v>
      </c>
      <c r="J15" s="6">
        <v>1</v>
      </c>
      <c r="K15" s="6">
        <v>1</v>
      </c>
      <c r="L15" s="9" t="s">
        <v>61</v>
      </c>
    </row>
    <row r="16" spans="1:12" ht="16.5" customHeight="1" thickBot="1">
      <c r="A16" s="10" t="s">
        <v>21</v>
      </c>
      <c r="B16" s="42"/>
      <c r="C16" s="42"/>
      <c r="D16" s="11" t="s">
        <v>7</v>
      </c>
      <c r="E16" s="11">
        <v>40</v>
      </c>
      <c r="F16" s="11" t="s">
        <v>17</v>
      </c>
      <c r="G16" s="11" t="s">
        <v>8</v>
      </c>
      <c r="H16" s="11"/>
      <c r="I16" s="11"/>
      <c r="J16" s="11"/>
      <c r="K16" s="11"/>
      <c r="L16" s="12" t="s">
        <v>62</v>
      </c>
    </row>
  </sheetData>
  <mergeCells count="16">
    <mergeCell ref="A2:L3"/>
    <mergeCell ref="L6:L7"/>
    <mergeCell ref="B16:C16"/>
    <mergeCell ref="A5:L5"/>
    <mergeCell ref="B11:C11"/>
    <mergeCell ref="B12:C12"/>
    <mergeCell ref="B13:C13"/>
    <mergeCell ref="B14:C14"/>
    <mergeCell ref="B15:C15"/>
    <mergeCell ref="B8:C8"/>
    <mergeCell ref="B9:C9"/>
    <mergeCell ref="B10:C10"/>
    <mergeCell ref="I6:K6"/>
    <mergeCell ref="A6:G6"/>
    <mergeCell ref="H6:H7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94"/>
  <sheetViews>
    <sheetView tabSelected="1" workbookViewId="0">
      <selection activeCell="F7" sqref="F7"/>
    </sheetView>
  </sheetViews>
  <sheetFormatPr defaultColWidth="8.140625" defaultRowHeight="15" customHeight="1"/>
  <cols>
    <col min="1" max="1" width="12" style="1" customWidth="1"/>
    <col min="2" max="8" width="8.140625" style="1"/>
    <col min="9" max="9" width="11" style="1" bestFit="1" customWidth="1"/>
    <col min="10" max="10" width="8.140625" style="1"/>
    <col min="11" max="11" width="8.7109375" style="1" customWidth="1"/>
    <col min="12" max="12" width="10.7109375" style="1" customWidth="1"/>
    <col min="13" max="17" width="8.7109375" style="1" customWidth="1"/>
    <col min="18" max="21" width="8.140625" style="1"/>
    <col min="22" max="22" width="12" style="1" bestFit="1" customWidth="1"/>
    <col min="23" max="16384" width="8.140625" style="1"/>
  </cols>
  <sheetData>
    <row r="2" spans="1:23" ht="15" customHeight="1">
      <c r="A2" s="68" t="s">
        <v>77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</row>
    <row r="3" spans="1:23" ht="15" customHeight="1">
      <c r="A3" s="68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</row>
    <row r="5" spans="1:23" ht="15" customHeight="1" thickBot="1">
      <c r="A5" s="76" t="s">
        <v>59</v>
      </c>
      <c r="B5" s="76"/>
      <c r="C5" s="76"/>
      <c r="D5" s="76"/>
      <c r="E5" s="76"/>
      <c r="F5" s="76"/>
      <c r="G5" s="76"/>
      <c r="H5" s="76"/>
      <c r="I5" s="76"/>
      <c r="L5" s="66" t="s">
        <v>70</v>
      </c>
      <c r="M5" s="66"/>
      <c r="N5" s="66"/>
      <c r="O5" s="66"/>
      <c r="P5" s="66"/>
      <c r="S5" s="13"/>
      <c r="T5" s="13"/>
      <c r="U5" s="13"/>
      <c r="V5" s="13"/>
    </row>
    <row r="6" spans="1:23" ht="15" customHeight="1">
      <c r="A6" s="14" t="s">
        <v>0</v>
      </c>
      <c r="B6" s="3" t="s">
        <v>2</v>
      </c>
      <c r="C6" s="15" t="s">
        <v>3</v>
      </c>
      <c r="D6" s="15" t="s">
        <v>4</v>
      </c>
      <c r="E6" s="15" t="s">
        <v>5</v>
      </c>
      <c r="F6" s="15" t="s">
        <v>23</v>
      </c>
      <c r="G6" s="15" t="s">
        <v>37</v>
      </c>
      <c r="H6" s="15" t="s">
        <v>38</v>
      </c>
      <c r="I6" s="15" t="s">
        <v>39</v>
      </c>
      <c r="J6" s="16"/>
      <c r="L6" s="3" t="s">
        <v>69</v>
      </c>
      <c r="M6" s="3" t="s">
        <v>2</v>
      </c>
      <c r="N6" s="15" t="s">
        <v>3</v>
      </c>
      <c r="O6" s="15" t="s">
        <v>4</v>
      </c>
      <c r="P6" s="15" t="s">
        <v>5</v>
      </c>
      <c r="S6" s="73" t="s">
        <v>47</v>
      </c>
      <c r="T6" s="74"/>
      <c r="U6" s="74"/>
      <c r="V6" s="75"/>
    </row>
    <row r="7" spans="1:23" ht="15" customHeight="1">
      <c r="A7" s="17" t="s">
        <v>6</v>
      </c>
      <c r="B7" s="18">
        <v>1</v>
      </c>
      <c r="C7" s="18">
        <f>(((20-20)/(40-20))-0.5)/0.5</f>
        <v>-1</v>
      </c>
      <c r="D7" s="18">
        <v>0</v>
      </c>
      <c r="E7" s="18">
        <v>-1</v>
      </c>
      <c r="F7" s="18">
        <v>1</v>
      </c>
      <c r="G7" s="18">
        <v>0</v>
      </c>
      <c r="H7" s="18">
        <v>0</v>
      </c>
      <c r="I7" s="18">
        <v>0</v>
      </c>
      <c r="J7" s="16"/>
      <c r="L7" s="6">
        <v>1</v>
      </c>
      <c r="M7" s="6">
        <f>INDEX($B$7:$E$14,$L$7,ROW(B1))</f>
        <v>1</v>
      </c>
      <c r="N7" s="6">
        <f>INDEX($B$7:$E$14,$L$7,ROW(A2))</f>
        <v>-1</v>
      </c>
      <c r="O7" s="6">
        <f>INDEX($B$7:$E$14,$L$7,ROW(A3))</f>
        <v>0</v>
      </c>
      <c r="P7" s="6">
        <f>INDEX($B$7:$E$14,$L$7,ROW(A4))</f>
        <v>-1</v>
      </c>
      <c r="S7" s="30" t="s">
        <v>32</v>
      </c>
      <c r="T7" s="30" t="s">
        <v>40</v>
      </c>
      <c r="U7" s="30" t="s">
        <v>33</v>
      </c>
      <c r="V7" s="30" t="s">
        <v>34</v>
      </c>
    </row>
    <row r="8" spans="1:23" ht="15" customHeight="1">
      <c r="A8" s="17" t="s">
        <v>10</v>
      </c>
      <c r="B8" s="18">
        <v>0</v>
      </c>
      <c r="C8" s="18">
        <f>(((20-20)/(40-20))-0.5)/0.5</f>
        <v>-1</v>
      </c>
      <c r="D8" s="18">
        <v>-1</v>
      </c>
      <c r="E8" s="18">
        <v>0</v>
      </c>
      <c r="F8" s="18">
        <v>2</v>
      </c>
      <c r="G8" s="18">
        <v>0</v>
      </c>
      <c r="H8" s="18">
        <v>0</v>
      </c>
      <c r="I8" s="18">
        <v>1</v>
      </c>
      <c r="S8" s="18">
        <v>1</v>
      </c>
      <c r="T8" s="18">
        <f>L28</f>
        <v>5.8164385043002372E-63</v>
      </c>
      <c r="U8" s="18">
        <f>L29</f>
        <v>0</v>
      </c>
      <c r="V8" s="18">
        <f>IFERROR((T8-U8)^2,99999999)</f>
        <v>3.3830956874306382E-125</v>
      </c>
    </row>
    <row r="9" spans="1:23" ht="15" customHeight="1">
      <c r="A9" s="17" t="s">
        <v>13</v>
      </c>
      <c r="B9" s="18">
        <v>1</v>
      </c>
      <c r="C9" s="18">
        <f>(((30-20)/(40-20))-0.5)/0.5</f>
        <v>0</v>
      </c>
      <c r="D9" s="18">
        <v>-1</v>
      </c>
      <c r="E9" s="18">
        <v>1</v>
      </c>
      <c r="F9" s="18">
        <v>3</v>
      </c>
      <c r="G9" s="18">
        <v>0</v>
      </c>
      <c r="H9" s="18">
        <v>1</v>
      </c>
      <c r="I9" s="18">
        <v>0</v>
      </c>
      <c r="K9" s="66" t="s">
        <v>24</v>
      </c>
      <c r="L9" s="66"/>
      <c r="M9" s="66"/>
      <c r="N9" s="66"/>
      <c r="O9" s="66"/>
      <c r="P9" s="66"/>
      <c r="Q9" s="66"/>
      <c r="S9" s="18">
        <v>2</v>
      </c>
      <c r="T9" s="18">
        <f t="dataTable" ref="T9:U15" dt2D="0" dtr="0" r1="L7" ca="1"/>
        <v>2.6663785613634978E-44</v>
      </c>
      <c r="U9" s="18">
        <v>0</v>
      </c>
      <c r="V9" s="18">
        <f>IFERROR((T9-U9)^2,99999999)</f>
        <v>7.1095746324988762E-88</v>
      </c>
    </row>
    <row r="10" spans="1:23" ht="15" customHeight="1">
      <c r="A10" s="17" t="s">
        <v>15</v>
      </c>
      <c r="B10" s="18">
        <v>0</v>
      </c>
      <c r="C10" s="18">
        <f>(((20-20)/(40-20))-0.5)/0.5</f>
        <v>-1</v>
      </c>
      <c r="D10" s="18">
        <v>0</v>
      </c>
      <c r="E10" s="18">
        <v>-1</v>
      </c>
      <c r="F10" s="18">
        <v>4</v>
      </c>
      <c r="G10" s="18">
        <v>0</v>
      </c>
      <c r="H10" s="18">
        <v>1</v>
      </c>
      <c r="I10" s="18">
        <v>1</v>
      </c>
      <c r="K10" s="58" t="s">
        <v>71</v>
      </c>
      <c r="L10" s="62" t="s">
        <v>25</v>
      </c>
      <c r="M10" s="62" t="s">
        <v>26</v>
      </c>
      <c r="N10" s="62" t="s">
        <v>27</v>
      </c>
      <c r="O10" s="62" t="s">
        <v>28</v>
      </c>
      <c r="P10" s="62" t="s">
        <v>31</v>
      </c>
      <c r="Q10" s="62" t="s">
        <v>29</v>
      </c>
      <c r="S10" s="18">
        <v>3</v>
      </c>
      <c r="T10" s="18">
        <v>1.6983569013985382E-42</v>
      </c>
      <c r="U10" s="18">
        <v>0</v>
      </c>
      <c r="V10" s="18">
        <f t="shared" ref="V10:V15" si="0">IFERROR((T10-U10)^2,99999999)</f>
        <v>2.8844161645280442E-84</v>
      </c>
    </row>
    <row r="11" spans="1:23" ht="15" customHeight="1">
      <c r="A11" s="17" t="s">
        <v>16</v>
      </c>
      <c r="B11" s="18">
        <v>1</v>
      </c>
      <c r="C11" s="18">
        <f>(((40-20)/(40-20))-0.5)/0.5</f>
        <v>1</v>
      </c>
      <c r="D11" s="18">
        <v>1</v>
      </c>
      <c r="E11" s="18">
        <v>1</v>
      </c>
      <c r="F11" s="18">
        <v>5</v>
      </c>
      <c r="G11" s="18">
        <v>1</v>
      </c>
      <c r="H11" s="18">
        <v>0</v>
      </c>
      <c r="I11" s="18">
        <v>0</v>
      </c>
      <c r="K11" s="67"/>
      <c r="L11" s="62"/>
      <c r="M11" s="62"/>
      <c r="N11" s="62"/>
      <c r="O11" s="62"/>
      <c r="P11" s="62"/>
      <c r="Q11" s="62"/>
      <c r="S11" s="18">
        <v>4</v>
      </c>
      <c r="T11" s="18">
        <v>2.8075968604394766E-38</v>
      </c>
      <c r="U11" s="18">
        <v>0</v>
      </c>
      <c r="V11" s="18">
        <f t="shared" si="0"/>
        <v>7.8826001307496053E-76</v>
      </c>
    </row>
    <row r="12" spans="1:23" ht="15" customHeight="1">
      <c r="A12" s="17" t="s">
        <v>18</v>
      </c>
      <c r="B12" s="18">
        <v>0</v>
      </c>
      <c r="C12" s="18">
        <f t="shared" ref="C12:C15" si="1">(((40-20)/(40-20))-0.5)/0.5</f>
        <v>1</v>
      </c>
      <c r="D12" s="18">
        <v>-1</v>
      </c>
      <c r="E12" s="18">
        <v>0</v>
      </c>
      <c r="F12" s="18">
        <v>6</v>
      </c>
      <c r="G12" s="18">
        <v>1</v>
      </c>
      <c r="H12" s="18">
        <v>0</v>
      </c>
      <c r="I12" s="18">
        <v>1</v>
      </c>
      <c r="K12" s="29">
        <v>1</v>
      </c>
      <c r="L12" s="18">
        <v>-7.9702377068524859</v>
      </c>
      <c r="M12" s="18">
        <v>48.800715250423536</v>
      </c>
      <c r="N12" s="18">
        <v>-17.188375383381917</v>
      </c>
      <c r="O12" s="18">
        <v>8.1281988236163709</v>
      </c>
      <c r="P12" s="18">
        <v>9.9901829309926491</v>
      </c>
      <c r="Q12" s="18">
        <f t="shared" ref="Q12:Q17" si="2">1/(1+EXP(-(L12+SUMPRODUCT(M12:P12,$M$7:$P$7))))</f>
        <v>1</v>
      </c>
      <c r="S12" s="18">
        <v>5</v>
      </c>
      <c r="T12" s="18">
        <v>1</v>
      </c>
      <c r="U12" s="18">
        <v>1</v>
      </c>
      <c r="V12" s="18">
        <f t="shared" si="0"/>
        <v>0</v>
      </c>
    </row>
    <row r="13" spans="1:23" ht="15" customHeight="1">
      <c r="A13" s="17" t="s">
        <v>19</v>
      </c>
      <c r="B13" s="18">
        <v>1</v>
      </c>
      <c r="C13" s="18">
        <f t="shared" si="1"/>
        <v>1</v>
      </c>
      <c r="D13" s="18">
        <v>1</v>
      </c>
      <c r="E13" s="18">
        <v>-1</v>
      </c>
      <c r="F13" s="18">
        <v>7</v>
      </c>
      <c r="G13" s="18">
        <v>1</v>
      </c>
      <c r="H13" s="18">
        <v>1</v>
      </c>
      <c r="I13" s="18">
        <v>0</v>
      </c>
      <c r="K13" s="29">
        <v>2</v>
      </c>
      <c r="L13" s="18">
        <v>15.283580233229102</v>
      </c>
      <c r="M13" s="18">
        <v>-63.999634405033355</v>
      </c>
      <c r="N13" s="18">
        <v>-10.798926313632062</v>
      </c>
      <c r="O13" s="18">
        <v>22.192669448464404</v>
      </c>
      <c r="P13" s="18">
        <v>39.118176622340343</v>
      </c>
      <c r="Q13" s="18">
        <f t="shared" si="2"/>
        <v>3.4993900479187385E-34</v>
      </c>
      <c r="S13" s="18">
        <v>6</v>
      </c>
      <c r="T13" s="18">
        <v>1</v>
      </c>
      <c r="U13" s="18">
        <v>1</v>
      </c>
      <c r="V13" s="18">
        <f t="shared" si="0"/>
        <v>0</v>
      </c>
    </row>
    <row r="14" spans="1:23" ht="15" customHeight="1">
      <c r="A14" s="17" t="s">
        <v>20</v>
      </c>
      <c r="B14" s="18">
        <v>1</v>
      </c>
      <c r="C14" s="18">
        <f>(((30-20)/(40-20))-0.5)/0.5</f>
        <v>0</v>
      </c>
      <c r="D14" s="18">
        <v>1</v>
      </c>
      <c r="E14" s="18">
        <v>1</v>
      </c>
      <c r="F14" s="18">
        <v>8</v>
      </c>
      <c r="G14" s="18">
        <v>1</v>
      </c>
      <c r="H14" s="18">
        <v>1</v>
      </c>
      <c r="I14" s="18">
        <v>1</v>
      </c>
      <c r="K14" s="29">
        <v>3</v>
      </c>
      <c r="L14" s="18">
        <v>7.8497982338017094</v>
      </c>
      <c r="M14" s="18">
        <v>-13.354157056516822</v>
      </c>
      <c r="N14" s="18">
        <v>63.052223102585373</v>
      </c>
      <c r="O14" s="18">
        <v>19.521097841598174</v>
      </c>
      <c r="P14" s="18">
        <v>-27.419449338347516</v>
      </c>
      <c r="Q14" s="18">
        <f t="shared" si="2"/>
        <v>1.3626060602892809E-18</v>
      </c>
      <c r="S14" s="18">
        <v>7</v>
      </c>
      <c r="T14" s="18">
        <v>1</v>
      </c>
      <c r="U14" s="18">
        <v>1</v>
      </c>
      <c r="V14" s="18">
        <f t="shared" si="0"/>
        <v>0</v>
      </c>
    </row>
    <row r="15" spans="1:23" ht="15" customHeight="1" thickBot="1">
      <c r="A15" s="20" t="s">
        <v>21</v>
      </c>
      <c r="B15" s="21">
        <v>1</v>
      </c>
      <c r="C15" s="21">
        <f t="shared" si="1"/>
        <v>1</v>
      </c>
      <c r="D15" s="21">
        <v>1</v>
      </c>
      <c r="E15" s="21">
        <v>0</v>
      </c>
      <c r="F15" s="21"/>
      <c r="G15" s="21"/>
      <c r="H15" s="22"/>
      <c r="I15" s="22"/>
      <c r="K15" s="29">
        <v>4</v>
      </c>
      <c r="L15" s="18">
        <v>17.905703456003565</v>
      </c>
      <c r="M15" s="18">
        <v>3.1915265194982649</v>
      </c>
      <c r="N15" s="18">
        <v>35.134239241175273</v>
      </c>
      <c r="O15" s="18">
        <v>32.261922483273231</v>
      </c>
      <c r="P15" s="18">
        <v>11.179830262936845</v>
      </c>
      <c r="Q15" s="18">
        <f t="shared" si="2"/>
        <v>1.1180616253889504E-11</v>
      </c>
      <c r="S15" s="18">
        <v>8</v>
      </c>
      <c r="T15" s="18">
        <v>0.99881355804615601</v>
      </c>
      <c r="U15" s="18">
        <v>1</v>
      </c>
      <c r="V15" s="23">
        <f t="shared" si="0"/>
        <v>1.4076445098411358E-6</v>
      </c>
    </row>
    <row r="16" spans="1:23" ht="15" customHeight="1" thickBot="1">
      <c r="K16" s="29">
        <v>5</v>
      </c>
      <c r="L16" s="18">
        <v>-23.706839889890141</v>
      </c>
      <c r="M16" s="18">
        <v>21.619339787881557</v>
      </c>
      <c r="N16" s="18">
        <v>7.0379160686406541</v>
      </c>
      <c r="O16" s="18">
        <v>26.642343713870499</v>
      </c>
      <c r="P16" s="18">
        <v>3.4882296369255967</v>
      </c>
      <c r="Q16" s="18">
        <f t="shared" si="2"/>
        <v>3.3263028238350466E-6</v>
      </c>
      <c r="S16" s="13"/>
      <c r="T16" s="70" t="s">
        <v>35</v>
      </c>
      <c r="U16" s="71"/>
      <c r="V16" s="24">
        <f>SUM(V8:V15)</f>
        <v>1.4076445098411358E-6</v>
      </c>
    </row>
    <row r="17" spans="8:22" ht="15" customHeight="1">
      <c r="H17" s="13"/>
      <c r="I17" s="13"/>
      <c r="K17" s="29">
        <v>6</v>
      </c>
      <c r="L17" s="18">
        <v>-7.990661910174703</v>
      </c>
      <c r="M17" s="18">
        <v>26.066731649092379</v>
      </c>
      <c r="N17" s="18">
        <v>-16.070685958902271</v>
      </c>
      <c r="O17" s="18">
        <v>14.318353301575693</v>
      </c>
      <c r="P17" s="18">
        <v>16.245958854131903</v>
      </c>
      <c r="Q17" s="18">
        <f t="shared" si="2"/>
        <v>0.99999998318167649</v>
      </c>
      <c r="S17" s="13"/>
      <c r="T17" s="13"/>
      <c r="U17" s="13"/>
      <c r="V17" s="13"/>
    </row>
    <row r="18" spans="8:22" ht="15" customHeight="1">
      <c r="H18" s="13"/>
      <c r="I18" s="13"/>
      <c r="S18" s="13"/>
      <c r="T18" s="13"/>
      <c r="U18" s="13"/>
      <c r="V18" s="13"/>
    </row>
    <row r="19" spans="8:22" ht="15" customHeight="1">
      <c r="H19" s="13"/>
      <c r="I19" s="13"/>
      <c r="K19" s="53" t="s">
        <v>30</v>
      </c>
      <c r="L19" s="53"/>
      <c r="M19" s="53"/>
      <c r="N19" s="53"/>
      <c r="O19" s="53"/>
      <c r="P19" s="53"/>
      <c r="S19" s="30" t="s">
        <v>32</v>
      </c>
      <c r="T19" s="30" t="s">
        <v>40</v>
      </c>
      <c r="U19" s="30" t="s">
        <v>33</v>
      </c>
      <c r="V19" s="30" t="s">
        <v>34</v>
      </c>
    </row>
    <row r="20" spans="8:22" ht="15" customHeight="1">
      <c r="H20" s="13"/>
      <c r="I20" s="13"/>
      <c r="K20" s="54" t="s">
        <v>44</v>
      </c>
      <c r="L20" s="54"/>
      <c r="M20" s="54" t="s">
        <v>45</v>
      </c>
      <c r="N20" s="54"/>
      <c r="O20" s="54" t="s">
        <v>46</v>
      </c>
      <c r="P20" s="54"/>
      <c r="Q20" s="13"/>
      <c r="S20" s="18">
        <v>1</v>
      </c>
      <c r="T20" s="18">
        <f>N28</f>
        <v>4.1888283919319994E-3</v>
      </c>
      <c r="U20" s="18">
        <f>N29</f>
        <v>0</v>
      </c>
      <c r="V20" s="18">
        <f>IFERROR((T20-U20)^2,99999999)</f>
        <v>1.7546283297055619E-5</v>
      </c>
    </row>
    <row r="21" spans="8:22" ht="15" customHeight="1">
      <c r="K21" s="31" t="s">
        <v>72</v>
      </c>
      <c r="L21" s="18">
        <v>-97.498061915934827</v>
      </c>
      <c r="M21" s="31" t="s">
        <v>72</v>
      </c>
      <c r="N21" s="18">
        <v>4.1513378092693349</v>
      </c>
      <c r="O21" s="31" t="s">
        <v>72</v>
      </c>
      <c r="P21" s="18">
        <v>46.208460829341924</v>
      </c>
      <c r="Q21" s="13"/>
      <c r="S21" s="18">
        <v>2</v>
      </c>
      <c r="T21" s="18">
        <f t="dataTable" ref="T21:U27" dt2D="0" dtr="0" r1="L7" ca="1"/>
        <v>4.7134353354495378E-17</v>
      </c>
      <c r="U21" s="18">
        <v>0</v>
      </c>
      <c r="V21" s="18">
        <f t="shared" ref="V21:V27" si="3">IFERROR((T21-U21)^2,99999999)</f>
        <v>2.2216472661464295E-33</v>
      </c>
    </row>
    <row r="22" spans="8:22" ht="15" customHeight="1">
      <c r="K22" s="29" t="s">
        <v>26</v>
      </c>
      <c r="L22" s="18">
        <v>34.980642291779425</v>
      </c>
      <c r="M22" s="29" t="s">
        <v>26</v>
      </c>
      <c r="N22" s="18">
        <v>6.3649086705167406</v>
      </c>
      <c r="O22" s="29" t="s">
        <v>26</v>
      </c>
      <c r="P22" s="18">
        <v>-67.907768617800059</v>
      </c>
      <c r="Q22" s="13"/>
      <c r="S22" s="18">
        <v>3</v>
      </c>
      <c r="T22" s="18">
        <v>0.99707804601498462</v>
      </c>
      <c r="U22" s="18">
        <v>1</v>
      </c>
      <c r="V22" s="18">
        <f t="shared" si="3"/>
        <v>8.5378150905472571E-6</v>
      </c>
    </row>
    <row r="23" spans="8:22" ht="15" customHeight="1">
      <c r="K23" s="29" t="s">
        <v>27</v>
      </c>
      <c r="L23" s="18">
        <v>-29.446022628224274</v>
      </c>
      <c r="M23" s="29" t="s">
        <v>27</v>
      </c>
      <c r="N23" s="18">
        <v>-47.427404118310626</v>
      </c>
      <c r="O23" s="29" t="s">
        <v>27</v>
      </c>
      <c r="P23" s="18">
        <v>61.296366700337131</v>
      </c>
      <c r="Q23" s="13"/>
      <c r="S23" s="18">
        <v>4</v>
      </c>
      <c r="T23" s="18">
        <v>0.99788848978317257</v>
      </c>
      <c r="U23" s="18">
        <v>1</v>
      </c>
      <c r="V23" s="18">
        <f t="shared" si="3"/>
        <v>4.4584753957666118E-6</v>
      </c>
    </row>
    <row r="24" spans="8:22" ht="15" customHeight="1">
      <c r="K24" s="29" t="s">
        <v>28</v>
      </c>
      <c r="L24" s="18">
        <v>120.32703408792776</v>
      </c>
      <c r="M24" s="29" t="s">
        <v>28</v>
      </c>
      <c r="N24" s="18">
        <v>-40.018947241311764</v>
      </c>
      <c r="O24" s="29" t="s">
        <v>28</v>
      </c>
      <c r="P24" s="18">
        <v>-21.383455120819679</v>
      </c>
      <c r="Q24" s="13"/>
      <c r="S24" s="18">
        <v>5</v>
      </c>
      <c r="T24" s="18">
        <v>9.1121734260140271E-8</v>
      </c>
      <c r="U24" s="18">
        <v>0</v>
      </c>
      <c r="V24" s="18">
        <f t="shared" si="3"/>
        <v>8.3031704545756207E-15</v>
      </c>
    </row>
    <row r="25" spans="8:22" ht="15" customHeight="1">
      <c r="K25" s="29" t="s">
        <v>31</v>
      </c>
      <c r="L25" s="18">
        <v>93.539121649030378</v>
      </c>
      <c r="M25" s="29" t="s">
        <v>31</v>
      </c>
      <c r="N25" s="18">
        <v>22.437916107894093</v>
      </c>
      <c r="O25" s="29" t="s">
        <v>31</v>
      </c>
      <c r="P25" s="18">
        <v>43.86968181356707</v>
      </c>
      <c r="Q25" s="13"/>
      <c r="S25" s="18">
        <v>6</v>
      </c>
      <c r="T25" s="18">
        <v>1.4708122136792195E-6</v>
      </c>
      <c r="U25" s="18">
        <v>0</v>
      </c>
      <c r="V25" s="18">
        <f t="shared" si="3"/>
        <v>2.163288567907966E-12</v>
      </c>
    </row>
    <row r="26" spans="8:22" ht="15" customHeight="1">
      <c r="K26" s="29" t="s">
        <v>42</v>
      </c>
      <c r="L26" s="18">
        <v>85.944688571546266</v>
      </c>
      <c r="M26" s="29" t="s">
        <v>42</v>
      </c>
      <c r="N26" s="18">
        <v>47.517128375809392</v>
      </c>
      <c r="O26" s="29" t="s">
        <v>42</v>
      </c>
      <c r="P26" s="18">
        <v>-61.776407680224466</v>
      </c>
      <c r="Q26" s="13"/>
      <c r="S26" s="18">
        <v>7</v>
      </c>
      <c r="T26" s="18">
        <v>0.99999999999998912</v>
      </c>
      <c r="U26" s="18">
        <v>1</v>
      </c>
      <c r="V26" s="18">
        <f t="shared" si="3"/>
        <v>1.1837843958972808E-28</v>
      </c>
    </row>
    <row r="27" spans="8:22" ht="15" customHeight="1" thickBot="1">
      <c r="K27" s="29" t="s">
        <v>43</v>
      </c>
      <c r="L27" s="18">
        <v>-80.785040338655293</v>
      </c>
      <c r="M27" s="29" t="s">
        <v>43</v>
      </c>
      <c r="N27" s="18">
        <v>-15.987541383381652</v>
      </c>
      <c r="O27" s="29" t="s">
        <v>43</v>
      </c>
      <c r="P27" s="18">
        <v>-14.429557612533483</v>
      </c>
      <c r="Q27" s="13"/>
      <c r="S27" s="18">
        <v>8</v>
      </c>
      <c r="T27" s="18">
        <v>0.99999996087271525</v>
      </c>
      <c r="U27" s="18">
        <v>1</v>
      </c>
      <c r="V27" s="23">
        <f t="shared" si="3"/>
        <v>1.5309444115579896E-15</v>
      </c>
    </row>
    <row r="28" spans="8:22" ht="15" customHeight="1" thickBot="1">
      <c r="K28" s="25" t="s">
        <v>73</v>
      </c>
      <c r="L28" s="18">
        <f>1/(1+EXP(-(L21+SUMPRODUCT(L22:L27,Q12:Q17))))</f>
        <v>5.8164385043002372E-63</v>
      </c>
      <c r="M28" s="25" t="s">
        <v>74</v>
      </c>
      <c r="N28" s="18">
        <f>1/(1+EXP(-(N21+SUMPRODUCT(N22:N27,Q12:Q17))))</f>
        <v>4.1888283919319994E-3</v>
      </c>
      <c r="O28" s="25" t="s">
        <v>75</v>
      </c>
      <c r="P28" s="18">
        <f>1/(1+EXP(-(P21+SUMPRODUCT(P22:P27,Q12:Q17))))</f>
        <v>2.0386561546078679E-16</v>
      </c>
      <c r="Q28" s="13"/>
      <c r="S28" s="13"/>
      <c r="T28" s="70" t="s">
        <v>35</v>
      </c>
      <c r="U28" s="71"/>
      <c r="V28" s="24">
        <f>SUM(V20:V27)</f>
        <v>3.0542575956492182E-5</v>
      </c>
    </row>
    <row r="29" spans="8:22" ht="15" customHeight="1">
      <c r="K29" s="25" t="s">
        <v>76</v>
      </c>
      <c r="L29" s="18">
        <f>INDEX(G7:G14,L7,1)</f>
        <v>0</v>
      </c>
      <c r="M29" s="25" t="s">
        <v>76</v>
      </c>
      <c r="N29" s="18">
        <f>INDEX(H7:H14,L7,1)</f>
        <v>0</v>
      </c>
      <c r="O29" s="25" t="s">
        <v>76</v>
      </c>
      <c r="P29" s="18">
        <f>INDEX(I7:I14,L7,1)</f>
        <v>0</v>
      </c>
      <c r="Q29" s="13"/>
      <c r="S29" s="13"/>
      <c r="T29" s="13"/>
      <c r="U29" s="13"/>
      <c r="V29" s="13"/>
    </row>
    <row r="30" spans="8:22" ht="15" customHeight="1">
      <c r="Q30" s="13"/>
      <c r="S30" s="30" t="s">
        <v>32</v>
      </c>
      <c r="T30" s="30" t="s">
        <v>40</v>
      </c>
      <c r="U30" s="30" t="s">
        <v>33</v>
      </c>
      <c r="V30" s="30" t="s">
        <v>34</v>
      </c>
    </row>
    <row r="31" spans="8:22" ht="15" customHeight="1">
      <c r="S31" s="18">
        <v>1</v>
      </c>
      <c r="T31" s="18">
        <f>P28</f>
        <v>2.0386561546078679E-16</v>
      </c>
      <c r="U31" s="18">
        <f>P29</f>
        <v>0</v>
      </c>
      <c r="V31" s="18">
        <f>IFERROR((T31-U31)^2,99999999)</f>
        <v>4.1561189167205391E-32</v>
      </c>
    </row>
    <row r="32" spans="8:22" ht="15" customHeight="1">
      <c r="R32" s="1" t="s">
        <v>36</v>
      </c>
      <c r="S32" s="18">
        <v>2</v>
      </c>
      <c r="T32" s="18">
        <f t="dataTable" ref="T32:U38" dt2D="0" dtr="0" r1="L7"/>
        <v>1</v>
      </c>
      <c r="U32" s="18">
        <v>1</v>
      </c>
      <c r="V32" s="18">
        <f t="shared" ref="V32:V38" si="4">IFERROR((T32-U32)^2,99999999)</f>
        <v>0</v>
      </c>
    </row>
    <row r="33" spans="6:22" ht="15" customHeight="1">
      <c r="S33" s="18">
        <v>3</v>
      </c>
      <c r="T33" s="18">
        <v>8.0856374421276765E-7</v>
      </c>
      <c r="U33" s="18">
        <v>0</v>
      </c>
      <c r="V33" s="18">
        <f t="shared" si="4"/>
        <v>6.5377532845537E-13</v>
      </c>
    </row>
    <row r="34" spans="6:22" ht="15" customHeight="1">
      <c r="S34" s="18">
        <v>4</v>
      </c>
      <c r="T34" s="18">
        <v>0.99999999998204481</v>
      </c>
      <c r="U34" s="18">
        <v>1</v>
      </c>
      <c r="V34" s="18">
        <f t="shared" si="4"/>
        <v>3.2238895164718209E-22</v>
      </c>
    </row>
    <row r="35" spans="6:22" ht="15" customHeight="1">
      <c r="S35" s="18">
        <v>5</v>
      </c>
      <c r="T35" s="18">
        <v>1.1940148340318004E-10</v>
      </c>
      <c r="U35" s="18">
        <v>0</v>
      </c>
      <c r="V35" s="18">
        <f t="shared" si="4"/>
        <v>1.4256714238879878E-20</v>
      </c>
    </row>
    <row r="36" spans="6:22" ht="15" customHeight="1">
      <c r="S36" s="18">
        <v>6</v>
      </c>
      <c r="T36" s="18">
        <v>1</v>
      </c>
      <c r="U36" s="18">
        <v>1</v>
      </c>
      <c r="V36" s="18">
        <f t="shared" si="4"/>
        <v>0</v>
      </c>
    </row>
    <row r="37" spans="6:22" ht="15" customHeight="1">
      <c r="S37" s="18">
        <v>7</v>
      </c>
      <c r="T37" s="18">
        <v>1.8091375439488477E-30</v>
      </c>
      <c r="U37" s="18">
        <v>0</v>
      </c>
      <c r="V37" s="18">
        <f t="shared" si="4"/>
        <v>3.2729786529252687E-60</v>
      </c>
    </row>
    <row r="38" spans="6:22" ht="15" customHeight="1" thickBot="1">
      <c r="S38" s="18">
        <v>8</v>
      </c>
      <c r="T38" s="18">
        <v>0.99929776175805318</v>
      </c>
      <c r="U38" s="18">
        <v>1</v>
      </c>
      <c r="V38" s="23">
        <f t="shared" si="4"/>
        <v>4.9313854845255716E-7</v>
      </c>
    </row>
    <row r="39" spans="6:22" ht="15" customHeight="1" thickBot="1">
      <c r="F39" s="27"/>
      <c r="G39" s="27"/>
      <c r="S39" s="13"/>
      <c r="T39" s="72" t="s">
        <v>35</v>
      </c>
      <c r="U39" s="72"/>
      <c r="V39" s="24">
        <f>SUM(V31:V38)</f>
        <v>4.9313920222790025E-7</v>
      </c>
    </row>
    <row r="40" spans="6:22" ht="15" customHeight="1">
      <c r="S40" s="13"/>
      <c r="T40" s="13"/>
      <c r="U40" s="13"/>
      <c r="V40" s="13"/>
    </row>
    <row r="41" spans="6:22" ht="15" customHeight="1">
      <c r="S41" s="13"/>
    </row>
    <row r="42" spans="6:22" ht="15" customHeight="1">
      <c r="S42" s="13"/>
      <c r="T42" s="60" t="s">
        <v>41</v>
      </c>
      <c r="U42" s="61"/>
      <c r="V42" s="32">
        <f>SUM(V16,V28,V39)</f>
        <v>3.2443359668561218E-5</v>
      </c>
    </row>
    <row r="43" spans="6:22" ht="15" customHeight="1">
      <c r="S43" s="13"/>
    </row>
    <row r="44" spans="6:22" ht="15" customHeight="1">
      <c r="S44" s="13"/>
      <c r="V44" s="13"/>
    </row>
    <row r="45" spans="6:22" ht="15" customHeight="1">
      <c r="S45" s="13"/>
      <c r="T45" s="13"/>
      <c r="U45" s="13"/>
    </row>
    <row r="46" spans="6:22" ht="15" customHeight="1">
      <c r="S46" s="13"/>
      <c r="T46" s="13"/>
      <c r="U46" s="13"/>
      <c r="V46" s="13"/>
    </row>
    <row r="47" spans="6:22" ht="15" customHeight="1">
      <c r="H47" s="27"/>
      <c r="S47" s="13"/>
      <c r="T47" s="13"/>
      <c r="U47" s="13"/>
      <c r="V47" s="13"/>
    </row>
    <row r="48" spans="6:22" ht="15" customHeight="1">
      <c r="H48" s="27"/>
      <c r="S48" s="13"/>
      <c r="T48" s="13"/>
      <c r="U48" s="13"/>
      <c r="V48" s="13"/>
    </row>
    <row r="49" spans="8:22" ht="15" customHeight="1">
      <c r="H49" s="27"/>
      <c r="S49" s="13"/>
      <c r="T49" s="13"/>
      <c r="U49" s="13"/>
      <c r="V49" s="13"/>
    </row>
    <row r="50" spans="8:22" ht="15" customHeight="1">
      <c r="H50" s="27"/>
      <c r="S50" s="13"/>
      <c r="T50" s="13"/>
      <c r="U50" s="13"/>
      <c r="V50" s="13"/>
    </row>
    <row r="51" spans="8:22" ht="15" customHeight="1">
      <c r="H51" s="27"/>
      <c r="S51" s="13"/>
      <c r="T51" s="13"/>
      <c r="U51" s="13"/>
      <c r="V51" s="13"/>
    </row>
    <row r="52" spans="8:22" ht="15" customHeight="1">
      <c r="H52" s="27"/>
      <c r="S52" s="13"/>
      <c r="T52" s="13"/>
      <c r="U52" s="13"/>
      <c r="V52" s="13"/>
    </row>
    <row r="53" spans="8:22" s="65" customFormat="1" ht="15" customHeight="1"/>
    <row r="54" spans="8:22" s="65" customFormat="1" ht="15" customHeight="1"/>
    <row r="57" spans="8:22" ht="15" customHeight="1">
      <c r="J57" s="64" t="s">
        <v>22</v>
      </c>
      <c r="K57" s="64"/>
      <c r="L57" s="64"/>
      <c r="M57" s="64"/>
    </row>
    <row r="58" spans="8:22" ht="15" customHeight="1">
      <c r="J58" s="64"/>
      <c r="K58" s="64"/>
      <c r="L58" s="64"/>
      <c r="M58" s="64"/>
    </row>
    <row r="59" spans="8:22" ht="15" customHeight="1">
      <c r="H59" s="27"/>
    </row>
    <row r="64" spans="8:22" ht="15" customHeight="1">
      <c r="I64" s="63" t="s">
        <v>48</v>
      </c>
      <c r="J64" s="63"/>
      <c r="K64" s="63"/>
      <c r="L64" s="63"/>
      <c r="M64" s="63"/>
      <c r="N64" s="63"/>
    </row>
    <row r="65" spans="8:15" ht="15" customHeight="1">
      <c r="I65" s="59"/>
      <c r="J65" s="59"/>
      <c r="K65" s="33" t="s">
        <v>2</v>
      </c>
      <c r="L65" s="33" t="s">
        <v>3</v>
      </c>
      <c r="M65" s="33" t="s">
        <v>4</v>
      </c>
      <c r="N65" s="33" t="s">
        <v>5</v>
      </c>
    </row>
    <row r="66" spans="8:15" ht="15" customHeight="1">
      <c r="I66" s="59" t="s">
        <v>21</v>
      </c>
      <c r="J66" s="59"/>
      <c r="K66" s="26">
        <v>1</v>
      </c>
      <c r="L66" s="26">
        <v>1</v>
      </c>
      <c r="M66" s="26">
        <v>1</v>
      </c>
      <c r="N66" s="26">
        <v>0</v>
      </c>
    </row>
    <row r="69" spans="8:15" ht="15" customHeight="1">
      <c r="H69" s="56" t="s">
        <v>24</v>
      </c>
      <c r="I69" s="56"/>
      <c r="J69" s="56"/>
      <c r="K69" s="56"/>
      <c r="L69" s="56"/>
      <c r="M69" s="56"/>
      <c r="N69" s="56"/>
      <c r="O69" s="57"/>
    </row>
    <row r="70" spans="8:15" ht="15" customHeight="1">
      <c r="H70" s="58" t="s">
        <v>71</v>
      </c>
      <c r="I70" s="58"/>
      <c r="J70" s="62" t="s">
        <v>25</v>
      </c>
      <c r="K70" s="62" t="s">
        <v>26</v>
      </c>
      <c r="L70" s="62" t="s">
        <v>27</v>
      </c>
      <c r="M70" s="62" t="s">
        <v>28</v>
      </c>
      <c r="N70" s="62" t="s">
        <v>31</v>
      </c>
      <c r="O70" s="62" t="s">
        <v>29</v>
      </c>
    </row>
    <row r="71" spans="8:15" ht="15" customHeight="1">
      <c r="H71" s="58"/>
      <c r="I71" s="58"/>
      <c r="J71" s="62"/>
      <c r="K71" s="62"/>
      <c r="L71" s="62"/>
      <c r="M71" s="62"/>
      <c r="N71" s="62"/>
      <c r="O71" s="62"/>
    </row>
    <row r="72" spans="8:15" ht="15" customHeight="1">
      <c r="H72" s="55">
        <v>1</v>
      </c>
      <c r="I72" s="55"/>
      <c r="J72" s="18">
        <v>-7.9702377068524859</v>
      </c>
      <c r="K72" s="18">
        <v>48.800715250423536</v>
      </c>
      <c r="L72" s="18">
        <v>-17.188375383381917</v>
      </c>
      <c r="M72" s="18">
        <v>8.1281988236163709</v>
      </c>
      <c r="N72" s="18">
        <v>9.9901829309926491</v>
      </c>
      <c r="O72" s="18">
        <f>1/(1+EXP(-(J72+SUMPRODUCT(K72:N72,$K$66:$N$66))))</f>
        <v>0.99999999999998401</v>
      </c>
    </row>
    <row r="73" spans="8:15" ht="15" customHeight="1">
      <c r="H73" s="55">
        <v>2</v>
      </c>
      <c r="I73" s="55"/>
      <c r="J73" s="18">
        <v>15.283580233229102</v>
      </c>
      <c r="K73" s="18">
        <v>-63.999634405033355</v>
      </c>
      <c r="L73" s="18">
        <v>-10.798926313632062</v>
      </c>
      <c r="M73" s="18">
        <v>22.192669448464404</v>
      </c>
      <c r="N73" s="18">
        <v>39.118176622340343</v>
      </c>
      <c r="O73" s="18">
        <f t="shared" ref="O73:O77" si="5">1/(1+EXP(-(J73+SUMPRODUCT(K73:N73,$K$66:$N$66))))</f>
        <v>6.1819610548638026E-17</v>
      </c>
    </row>
    <row r="74" spans="8:15" ht="15" customHeight="1">
      <c r="H74" s="55">
        <v>3</v>
      </c>
      <c r="I74" s="55"/>
      <c r="J74" s="18">
        <v>7.8497982338017094</v>
      </c>
      <c r="K74" s="18">
        <v>-13.354157056516822</v>
      </c>
      <c r="L74" s="18">
        <v>63.052223102585373</v>
      </c>
      <c r="M74" s="18">
        <v>19.521097841598174</v>
      </c>
      <c r="N74" s="18">
        <v>-27.419449338347516</v>
      </c>
      <c r="O74" s="18">
        <f t="shared" si="5"/>
        <v>1</v>
      </c>
    </row>
    <row r="75" spans="8:15" ht="15" customHeight="1">
      <c r="H75" s="55">
        <v>4</v>
      </c>
      <c r="I75" s="55"/>
      <c r="J75" s="18">
        <v>17.905703456003565</v>
      </c>
      <c r="K75" s="18">
        <v>3.1915265194982649</v>
      </c>
      <c r="L75" s="18">
        <v>35.134239241175273</v>
      </c>
      <c r="M75" s="18">
        <v>32.261922483273231</v>
      </c>
      <c r="N75" s="18">
        <v>11.179830262936845</v>
      </c>
      <c r="O75" s="18">
        <f t="shared" si="5"/>
        <v>1</v>
      </c>
    </row>
    <row r="76" spans="8:15" ht="15" customHeight="1">
      <c r="H76" s="55">
        <v>5</v>
      </c>
      <c r="I76" s="55"/>
      <c r="J76" s="18">
        <v>-23.706839889890141</v>
      </c>
      <c r="K76" s="18">
        <v>21.619339787881557</v>
      </c>
      <c r="L76" s="18">
        <v>7.0379160686406541</v>
      </c>
      <c r="M76" s="18">
        <v>26.642343713870499</v>
      </c>
      <c r="N76" s="18">
        <v>3.4882296369255967</v>
      </c>
      <c r="O76" s="18">
        <f t="shared" si="5"/>
        <v>0.9999999999999809</v>
      </c>
    </row>
    <row r="77" spans="8:15" ht="15" customHeight="1">
      <c r="H77" s="55">
        <v>6</v>
      </c>
      <c r="I77" s="55"/>
      <c r="J77" s="18">
        <v>-7.990661910174703</v>
      </c>
      <c r="K77" s="18">
        <v>26.066731649092379</v>
      </c>
      <c r="L77" s="18">
        <v>-16.070685958902271</v>
      </c>
      <c r="M77" s="18">
        <v>14.318353301575693</v>
      </c>
      <c r="N77" s="18">
        <v>16.245958854131903</v>
      </c>
      <c r="O77" s="18">
        <f t="shared" si="5"/>
        <v>0.99999991858751214</v>
      </c>
    </row>
    <row r="80" spans="8:15" ht="15" customHeight="1">
      <c r="I80" s="53" t="s">
        <v>30</v>
      </c>
      <c r="J80" s="53"/>
      <c r="K80" s="53"/>
      <c r="L80" s="53"/>
      <c r="M80" s="53"/>
      <c r="N80" s="53"/>
      <c r="O80" s="13"/>
    </row>
    <row r="81" spans="9:15" ht="15" customHeight="1">
      <c r="I81" s="54" t="s">
        <v>44</v>
      </c>
      <c r="J81" s="54"/>
      <c r="K81" s="54" t="s">
        <v>45</v>
      </c>
      <c r="L81" s="54"/>
      <c r="M81" s="54" t="s">
        <v>46</v>
      </c>
      <c r="N81" s="54"/>
      <c r="O81" s="13"/>
    </row>
    <row r="82" spans="9:15" ht="15" customHeight="1">
      <c r="I82" s="31" t="s">
        <v>72</v>
      </c>
      <c r="J82" s="18">
        <v>-97.498061915934827</v>
      </c>
      <c r="K82" s="31" t="s">
        <v>72</v>
      </c>
      <c r="L82" s="18">
        <v>4.1513378092693349</v>
      </c>
      <c r="M82" s="31" t="s">
        <v>72</v>
      </c>
      <c r="N82" s="18">
        <v>46.208460829341924</v>
      </c>
      <c r="O82" s="13"/>
    </row>
    <row r="83" spans="9:15" ht="15" customHeight="1">
      <c r="I83" s="29" t="s">
        <v>26</v>
      </c>
      <c r="J83" s="18">
        <v>34.980642291779425</v>
      </c>
      <c r="K83" s="29" t="s">
        <v>26</v>
      </c>
      <c r="L83" s="18">
        <v>6.3649086705167406</v>
      </c>
      <c r="M83" s="29" t="s">
        <v>26</v>
      </c>
      <c r="N83" s="18">
        <v>-67.907768617800059</v>
      </c>
      <c r="O83" s="13"/>
    </row>
    <row r="84" spans="9:15" ht="15" customHeight="1">
      <c r="I84" s="29" t="s">
        <v>27</v>
      </c>
      <c r="J84" s="18">
        <v>-29.446022628224274</v>
      </c>
      <c r="K84" s="29" t="s">
        <v>27</v>
      </c>
      <c r="L84" s="18">
        <v>-47.427404118310626</v>
      </c>
      <c r="M84" s="29" t="s">
        <v>27</v>
      </c>
      <c r="N84" s="18">
        <v>61.296366700337131</v>
      </c>
      <c r="O84" s="13"/>
    </row>
    <row r="85" spans="9:15" ht="15" customHeight="1">
      <c r="I85" s="29" t="s">
        <v>28</v>
      </c>
      <c r="J85" s="18">
        <v>120.32703408792776</v>
      </c>
      <c r="K85" s="29" t="s">
        <v>28</v>
      </c>
      <c r="L85" s="18">
        <v>-40.018947241311764</v>
      </c>
      <c r="M85" s="29" t="s">
        <v>28</v>
      </c>
      <c r="N85" s="18">
        <v>-21.383455120819679</v>
      </c>
      <c r="O85" s="13"/>
    </row>
    <row r="86" spans="9:15" ht="15" customHeight="1">
      <c r="I86" s="29" t="s">
        <v>31</v>
      </c>
      <c r="J86" s="18">
        <v>93.539121649030378</v>
      </c>
      <c r="K86" s="29" t="s">
        <v>31</v>
      </c>
      <c r="L86" s="18">
        <v>22.437916107894093</v>
      </c>
      <c r="M86" s="29" t="s">
        <v>31</v>
      </c>
      <c r="N86" s="18">
        <v>43.86968181356707</v>
      </c>
      <c r="O86" s="13"/>
    </row>
    <row r="87" spans="9:15" ht="15" customHeight="1">
      <c r="I87" s="29" t="s">
        <v>42</v>
      </c>
      <c r="J87" s="18">
        <v>85.944688571546266</v>
      </c>
      <c r="K87" s="29" t="s">
        <v>42</v>
      </c>
      <c r="L87" s="18">
        <v>47.517128375809392</v>
      </c>
      <c r="M87" s="29" t="s">
        <v>42</v>
      </c>
      <c r="N87" s="18">
        <v>-61.776407680224466</v>
      </c>
      <c r="O87" s="13"/>
    </row>
    <row r="88" spans="9:15" ht="15" customHeight="1">
      <c r="I88" s="29" t="s">
        <v>43</v>
      </c>
      <c r="J88" s="18">
        <v>-80.785040338655293</v>
      </c>
      <c r="K88" s="29" t="s">
        <v>43</v>
      </c>
      <c r="L88" s="18">
        <v>-15.987541383381652</v>
      </c>
      <c r="M88" s="29" t="s">
        <v>43</v>
      </c>
      <c r="N88" s="18">
        <v>-14.429557612533483</v>
      </c>
      <c r="O88" s="13"/>
    </row>
    <row r="89" spans="9:15" ht="15" customHeight="1">
      <c r="I89" s="25" t="s">
        <v>73</v>
      </c>
      <c r="J89" s="18">
        <f>1/(1+EXP(-(J82+SUMPRODUCT(J83:J88,O72:O77))))</f>
        <v>1</v>
      </c>
      <c r="K89" s="25" t="s">
        <v>74</v>
      </c>
      <c r="L89" s="18">
        <f>1/(1+EXP(-(L82+SUMPRODUCT(L83:L88,O72:O77))))</f>
        <v>0.99999999997628231</v>
      </c>
      <c r="M89" s="25" t="s">
        <v>75</v>
      </c>
      <c r="N89" s="18">
        <f>1/(1+EXP(-(N82+SUMPRODUCT(N83:N88,O72:O77))))</f>
        <v>1.7616711138750147E-33</v>
      </c>
      <c r="O89" s="13"/>
    </row>
    <row r="90" spans="9:15" ht="15" customHeight="1">
      <c r="I90" s="19" t="s">
        <v>49</v>
      </c>
      <c r="J90" s="6">
        <f>ROUND($J$89,0)</f>
        <v>1</v>
      </c>
      <c r="K90" s="19" t="s">
        <v>50</v>
      </c>
      <c r="L90" s="6">
        <f>ROUND($J$89,0)</f>
        <v>1</v>
      </c>
      <c r="M90" s="19" t="s">
        <v>51</v>
      </c>
      <c r="N90" s="6">
        <f>ROUND($N$89,0)</f>
        <v>0</v>
      </c>
    </row>
    <row r="92" spans="9:15" ht="15" customHeight="1">
      <c r="K92" s="28" t="s">
        <v>52</v>
      </c>
      <c r="L92" s="28">
        <f>VALUE((J90)&amp;(L90)&amp;(N90))</f>
        <v>110</v>
      </c>
    </row>
    <row r="94" spans="9:15" ht="15" customHeight="1">
      <c r="K94" s="28" t="s">
        <v>53</v>
      </c>
      <c r="L94" s="28">
        <f>BIN2DEC(L92)+1</f>
        <v>7</v>
      </c>
    </row>
  </sheetData>
  <mergeCells count="43">
    <mergeCell ref="A2:W3"/>
    <mergeCell ref="T16:U16"/>
    <mergeCell ref="T28:U28"/>
    <mergeCell ref="T39:U39"/>
    <mergeCell ref="S6:V6"/>
    <mergeCell ref="O20:P20"/>
    <mergeCell ref="K19:P19"/>
    <mergeCell ref="P10:P11"/>
    <mergeCell ref="Q10:Q11"/>
    <mergeCell ref="K20:L20"/>
    <mergeCell ref="M20:N20"/>
    <mergeCell ref="A5:I5"/>
    <mergeCell ref="L5:P5"/>
    <mergeCell ref="K9:Q9"/>
    <mergeCell ref="K10:K11"/>
    <mergeCell ref="L10:L11"/>
    <mergeCell ref="M10:M11"/>
    <mergeCell ref="N10:N11"/>
    <mergeCell ref="O10:O11"/>
    <mergeCell ref="H69:O69"/>
    <mergeCell ref="H70:I71"/>
    <mergeCell ref="I66:J66"/>
    <mergeCell ref="T42:U42"/>
    <mergeCell ref="J70:J71"/>
    <mergeCell ref="K70:K71"/>
    <mergeCell ref="L70:L71"/>
    <mergeCell ref="M70:M71"/>
    <mergeCell ref="N70:N71"/>
    <mergeCell ref="O70:O71"/>
    <mergeCell ref="I64:N64"/>
    <mergeCell ref="I65:J65"/>
    <mergeCell ref="J57:M58"/>
    <mergeCell ref="A53:XFD54"/>
    <mergeCell ref="H76:I76"/>
    <mergeCell ref="H75:I75"/>
    <mergeCell ref="H74:I74"/>
    <mergeCell ref="H73:I73"/>
    <mergeCell ref="H72:I72"/>
    <mergeCell ref="I80:N80"/>
    <mergeCell ref="I81:J81"/>
    <mergeCell ref="K81:L81"/>
    <mergeCell ref="M81:N81"/>
    <mergeCell ref="H77:I7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Preprocessing</vt:lpstr>
      <vt:lpstr>Training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Rajgopal</dc:creator>
  <cp:lastModifiedBy>Aravind</cp:lastModifiedBy>
  <dcterms:created xsi:type="dcterms:W3CDTF">2010-07-09T22:10:16Z</dcterms:created>
  <dcterms:modified xsi:type="dcterms:W3CDTF">2011-04-30T22:24:51Z</dcterms:modified>
</cp:coreProperties>
</file>