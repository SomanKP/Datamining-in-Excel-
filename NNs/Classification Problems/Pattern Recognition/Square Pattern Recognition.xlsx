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9585" windowHeight="5760"/>
  </bookViews>
  <sheets>
    <sheet name="Preprocessing" sheetId="2" r:id="rId1"/>
    <sheet name="Training" sheetId="3" r:id="rId2"/>
  </sheets>
  <definedNames>
    <definedName name="solver_adj" localSheetId="0" hidden="1">Training!$C$25:$I$30,Training!$C$35:$C$41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Training!$S$36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24519"/>
</workbook>
</file>

<file path=xl/calcChain.xml><?xml version="1.0" encoding="utf-8"?>
<calcChain xmlns="http://schemas.openxmlformats.org/spreadsheetml/2006/main">
  <c r="S35" i="3"/>
  <c r="S34"/>
  <c r="S33"/>
  <c r="S32"/>
  <c r="S31"/>
  <c r="S30"/>
  <c r="S29"/>
  <c r="S28"/>
  <c r="S27"/>
  <c r="I40"/>
  <c r="R26" s="1"/>
  <c r="D126" i="2" l="1"/>
  <c r="K133" s="1"/>
  <c r="E126"/>
  <c r="L133" s="1"/>
  <c r="F126"/>
  <c r="G126"/>
  <c r="N133" s="1"/>
  <c r="H126"/>
  <c r="O133" s="1"/>
  <c r="D127"/>
  <c r="E127"/>
  <c r="F127"/>
  <c r="G127"/>
  <c r="H127"/>
  <c r="D128"/>
  <c r="W133" s="1"/>
  <c r="E128"/>
  <c r="X133" s="1"/>
  <c r="F128"/>
  <c r="Y133" s="1"/>
  <c r="G128"/>
  <c r="H128"/>
  <c r="AA133" s="1"/>
  <c r="D129"/>
  <c r="AC133" s="1"/>
  <c r="E129"/>
  <c r="AD133" s="1"/>
  <c r="F129"/>
  <c r="AE133" s="1"/>
  <c r="G129"/>
  <c r="AF133" s="1"/>
  <c r="H129"/>
  <c r="AG133" s="1"/>
  <c r="D130"/>
  <c r="AI133" s="1"/>
  <c r="E130"/>
  <c r="AJ133" s="1"/>
  <c r="F130"/>
  <c r="G130"/>
  <c r="AL133" s="1"/>
  <c r="H130"/>
  <c r="AM133" s="1"/>
  <c r="D131"/>
  <c r="AO133" s="1"/>
  <c r="E131"/>
  <c r="AP133" s="1"/>
  <c r="F131"/>
  <c r="AQ133" s="1"/>
  <c r="G131"/>
  <c r="AR133" s="1"/>
  <c r="H131"/>
  <c r="AS133" s="1"/>
  <c r="C127"/>
  <c r="C128"/>
  <c r="V133" s="1"/>
  <c r="C129"/>
  <c r="AB133" s="1"/>
  <c r="C130"/>
  <c r="C131"/>
  <c r="AN133" s="1"/>
  <c r="C126"/>
  <c r="J133" s="1"/>
  <c r="R105"/>
  <c r="S105"/>
  <c r="T105"/>
  <c r="U105"/>
  <c r="V105"/>
  <c r="R106"/>
  <c r="S106"/>
  <c r="T106"/>
  <c r="U106"/>
  <c r="V106"/>
  <c r="R107"/>
  <c r="S107"/>
  <c r="T107"/>
  <c r="U107"/>
  <c r="V107"/>
  <c r="R108"/>
  <c r="S108"/>
  <c r="T108"/>
  <c r="U108"/>
  <c r="V108"/>
  <c r="R109"/>
  <c r="S109"/>
  <c r="T109"/>
  <c r="U109"/>
  <c r="V109"/>
  <c r="R110"/>
  <c r="S110"/>
  <c r="T110"/>
  <c r="U110"/>
  <c r="V110"/>
  <c r="Q106"/>
  <c r="Q107"/>
  <c r="Q108"/>
  <c r="Q109"/>
  <c r="Q110"/>
  <c r="Q105"/>
  <c r="Q99"/>
  <c r="R99"/>
  <c r="S99"/>
  <c r="T99"/>
  <c r="U99"/>
  <c r="V99"/>
  <c r="Q100"/>
  <c r="R100"/>
  <c r="S100"/>
  <c r="T100"/>
  <c r="U100"/>
  <c r="V100"/>
  <c r="Q101"/>
  <c r="R101"/>
  <c r="S101"/>
  <c r="T101"/>
  <c r="U101"/>
  <c r="V101"/>
  <c r="Q102"/>
  <c r="R102"/>
  <c r="S102"/>
  <c r="T102"/>
  <c r="U102"/>
  <c r="V102"/>
  <c r="Q103"/>
  <c r="R103"/>
  <c r="S103"/>
  <c r="T103"/>
  <c r="U103"/>
  <c r="V103"/>
  <c r="R98"/>
  <c r="S98"/>
  <c r="T98"/>
  <c r="U98"/>
  <c r="V98"/>
  <c r="Q98"/>
  <c r="Q92"/>
  <c r="R92"/>
  <c r="S92"/>
  <c r="T92"/>
  <c r="U92"/>
  <c r="V92"/>
  <c r="Q93"/>
  <c r="R93"/>
  <c r="S93"/>
  <c r="T93"/>
  <c r="U93"/>
  <c r="V93"/>
  <c r="Q94"/>
  <c r="R94"/>
  <c r="S94"/>
  <c r="T94"/>
  <c r="U94"/>
  <c r="V94"/>
  <c r="Q95"/>
  <c r="R95"/>
  <c r="S95"/>
  <c r="T95"/>
  <c r="U95"/>
  <c r="V95"/>
  <c r="Q96"/>
  <c r="R96"/>
  <c r="S96"/>
  <c r="T96"/>
  <c r="U96"/>
  <c r="V96"/>
  <c r="R91"/>
  <c r="S91"/>
  <c r="T91"/>
  <c r="U91"/>
  <c r="V91"/>
  <c r="Q91"/>
  <c r="Q89"/>
  <c r="R89"/>
  <c r="S89"/>
  <c r="T89"/>
  <c r="U89"/>
  <c r="V89"/>
  <c r="Q85"/>
  <c r="R85"/>
  <c r="S85"/>
  <c r="T85"/>
  <c r="U85"/>
  <c r="V85"/>
  <c r="Q86"/>
  <c r="R86"/>
  <c r="S86"/>
  <c r="T86"/>
  <c r="U86"/>
  <c r="V86"/>
  <c r="Q87"/>
  <c r="R87"/>
  <c r="S87"/>
  <c r="T87"/>
  <c r="U87"/>
  <c r="V87"/>
  <c r="Q88"/>
  <c r="R88"/>
  <c r="S88"/>
  <c r="T88"/>
  <c r="U88"/>
  <c r="V88"/>
  <c r="R84"/>
  <c r="S84"/>
  <c r="T84"/>
  <c r="U84"/>
  <c r="V84"/>
  <c r="Q84"/>
  <c r="N73"/>
  <c r="I16" i="3" s="1"/>
  <c r="O73" i="2"/>
  <c r="J16" i="3" s="1"/>
  <c r="P73" i="2"/>
  <c r="K16" i="3" s="1"/>
  <c r="Q73" i="2"/>
  <c r="L16" i="3" s="1"/>
  <c r="R73" i="2"/>
  <c r="M16" i="3" s="1"/>
  <c r="S73" i="2"/>
  <c r="N16" i="3" s="1"/>
  <c r="N74" i="2"/>
  <c r="O16" i="3" s="1"/>
  <c r="O74" i="2"/>
  <c r="P16" i="3" s="1"/>
  <c r="P74" i="2"/>
  <c r="Q16" i="3" s="1"/>
  <c r="Q74" i="2"/>
  <c r="R16" i="3" s="1"/>
  <c r="R74" i="2"/>
  <c r="S16" i="3" s="1"/>
  <c r="S74" i="2"/>
  <c r="T16" i="3" s="1"/>
  <c r="N75" i="2"/>
  <c r="U16" i="3" s="1"/>
  <c r="O75" i="2"/>
  <c r="V16" i="3" s="1"/>
  <c r="P75" i="2"/>
  <c r="W16" i="3" s="1"/>
  <c r="Q75" i="2"/>
  <c r="X16" i="3" s="1"/>
  <c r="R75" i="2"/>
  <c r="Y16" i="3" s="1"/>
  <c r="S75" i="2"/>
  <c r="Z16" i="3" s="1"/>
  <c r="N76" i="2"/>
  <c r="AA16" i="3" s="1"/>
  <c r="O76" i="2"/>
  <c r="AB16" i="3" s="1"/>
  <c r="P76" i="2"/>
  <c r="AC16" i="3" s="1"/>
  <c r="Q76" i="2"/>
  <c r="AD16" i="3" s="1"/>
  <c r="R76" i="2"/>
  <c r="AE16" i="3" s="1"/>
  <c r="S76" i="2"/>
  <c r="AF16" i="3" s="1"/>
  <c r="N77" i="2"/>
  <c r="AG16" i="3" s="1"/>
  <c r="O77" i="2"/>
  <c r="AH16" i="3" s="1"/>
  <c r="P77" i="2"/>
  <c r="AI16" i="3" s="1"/>
  <c r="Q77" i="2"/>
  <c r="AJ16" i="3" s="1"/>
  <c r="R77" i="2"/>
  <c r="AK16" i="3" s="1"/>
  <c r="S77" i="2"/>
  <c r="AL16" i="3" s="1"/>
  <c r="O72" i="2"/>
  <c r="D16" i="3" s="1"/>
  <c r="P72" i="2"/>
  <c r="E16" i="3" s="1"/>
  <c r="Q72" i="2"/>
  <c r="F16" i="3" s="1"/>
  <c r="R72" i="2"/>
  <c r="G16" i="3" s="1"/>
  <c r="S72" i="2"/>
  <c r="H16" i="3" s="1"/>
  <c r="N72" i="2"/>
  <c r="C16" i="3" s="1"/>
  <c r="N66" i="2"/>
  <c r="I15" i="3" s="1"/>
  <c r="O66" i="2"/>
  <c r="J15" i="3" s="1"/>
  <c r="P66" i="2"/>
  <c r="K15" i="3" s="1"/>
  <c r="Q66" i="2"/>
  <c r="L15" i="3" s="1"/>
  <c r="R66" i="2"/>
  <c r="M15" i="3" s="1"/>
  <c r="S66" i="2"/>
  <c r="N15" i="3" s="1"/>
  <c r="N67" i="2"/>
  <c r="O15" i="3" s="1"/>
  <c r="O67" i="2"/>
  <c r="P15" i="3" s="1"/>
  <c r="P67" i="2"/>
  <c r="Q15" i="3" s="1"/>
  <c r="Q67" i="2"/>
  <c r="R15" i="3" s="1"/>
  <c r="R67" i="2"/>
  <c r="S15" i="3" s="1"/>
  <c r="S67" i="2"/>
  <c r="T15" i="3" s="1"/>
  <c r="N68" i="2"/>
  <c r="U15" i="3" s="1"/>
  <c r="O68" i="2"/>
  <c r="V15" i="3" s="1"/>
  <c r="P68" i="2"/>
  <c r="W15" i="3" s="1"/>
  <c r="Q68" i="2"/>
  <c r="X15" i="3" s="1"/>
  <c r="R68" i="2"/>
  <c r="Y15" i="3" s="1"/>
  <c r="S68" i="2"/>
  <c r="Z15" i="3" s="1"/>
  <c r="N69" i="2"/>
  <c r="AA15" i="3" s="1"/>
  <c r="O69" i="2"/>
  <c r="AB15" i="3" s="1"/>
  <c r="P69" i="2"/>
  <c r="AC15" i="3" s="1"/>
  <c r="Q69" i="2"/>
  <c r="AD15" i="3" s="1"/>
  <c r="R69" i="2"/>
  <c r="AE15" i="3" s="1"/>
  <c r="S69" i="2"/>
  <c r="AF15" i="3" s="1"/>
  <c r="N70" i="2"/>
  <c r="AG15" i="3" s="1"/>
  <c r="O70" i="2"/>
  <c r="AH15" i="3" s="1"/>
  <c r="P70" i="2"/>
  <c r="AI15" i="3" s="1"/>
  <c r="Q70" i="2"/>
  <c r="AJ15" i="3" s="1"/>
  <c r="R70" i="2"/>
  <c r="AK15" i="3" s="1"/>
  <c r="S70" i="2"/>
  <c r="AL15" i="3" s="1"/>
  <c r="O65" i="2"/>
  <c r="D15" i="3" s="1"/>
  <c r="P65" i="2"/>
  <c r="E15" i="3" s="1"/>
  <c r="Q65" i="2"/>
  <c r="F15" i="3" s="1"/>
  <c r="R65" i="2"/>
  <c r="G15" i="3" s="1"/>
  <c r="S65" i="2"/>
  <c r="H15" i="3" s="1"/>
  <c r="N65" i="2"/>
  <c r="C15" i="3" s="1"/>
  <c r="N59" i="2"/>
  <c r="I14" i="3" s="1"/>
  <c r="O59" i="2"/>
  <c r="J14" i="3" s="1"/>
  <c r="P59" i="2"/>
  <c r="K14" i="3" s="1"/>
  <c r="Q59" i="2"/>
  <c r="L14" i="3" s="1"/>
  <c r="R59" i="2"/>
  <c r="M14" i="3" s="1"/>
  <c r="S59" i="2"/>
  <c r="N14" i="3" s="1"/>
  <c r="N60" i="2"/>
  <c r="O14" i="3" s="1"/>
  <c r="O60" i="2"/>
  <c r="P14" i="3" s="1"/>
  <c r="P60" i="2"/>
  <c r="Q14" i="3" s="1"/>
  <c r="Q60" i="2"/>
  <c r="R14" i="3" s="1"/>
  <c r="R60" i="2"/>
  <c r="S14" i="3" s="1"/>
  <c r="S60" i="2"/>
  <c r="T14" i="3" s="1"/>
  <c r="N61" i="2"/>
  <c r="U14" i="3" s="1"/>
  <c r="O61" i="2"/>
  <c r="V14" i="3" s="1"/>
  <c r="P61" i="2"/>
  <c r="W14" i="3" s="1"/>
  <c r="Q61" i="2"/>
  <c r="X14" i="3" s="1"/>
  <c r="R61" i="2"/>
  <c r="Y14" i="3" s="1"/>
  <c r="S61" i="2"/>
  <c r="Z14" i="3" s="1"/>
  <c r="N62" i="2"/>
  <c r="AA14" i="3" s="1"/>
  <c r="O62" i="2"/>
  <c r="AB14" i="3" s="1"/>
  <c r="P62" i="2"/>
  <c r="AC14" i="3" s="1"/>
  <c r="Q62" i="2"/>
  <c r="AD14" i="3" s="1"/>
  <c r="R62" i="2"/>
  <c r="AE14" i="3" s="1"/>
  <c r="S62" i="2"/>
  <c r="AF14" i="3" s="1"/>
  <c r="N63" i="2"/>
  <c r="AG14" i="3" s="1"/>
  <c r="O63" i="2"/>
  <c r="AH14" i="3" s="1"/>
  <c r="P63" i="2"/>
  <c r="AI14" i="3" s="1"/>
  <c r="Q63" i="2"/>
  <c r="AJ14" i="3" s="1"/>
  <c r="R63" i="2"/>
  <c r="AK14" i="3" s="1"/>
  <c r="S63" i="2"/>
  <c r="AL14" i="3" s="1"/>
  <c r="O58" i="2"/>
  <c r="D14" i="3" s="1"/>
  <c r="P58" i="2"/>
  <c r="E14" i="3" s="1"/>
  <c r="Q58" i="2"/>
  <c r="F14" i="3" s="1"/>
  <c r="R58" i="2"/>
  <c r="G14" i="3" s="1"/>
  <c r="S58" i="2"/>
  <c r="H14" i="3" s="1"/>
  <c r="N58" i="2"/>
  <c r="C14" i="3" s="1"/>
  <c r="N52" i="2"/>
  <c r="I13" i="3" s="1"/>
  <c r="O52" i="2"/>
  <c r="J13" i="3" s="1"/>
  <c r="P52" i="2"/>
  <c r="K13" i="3" s="1"/>
  <c r="Q52" i="2"/>
  <c r="L13" i="3" s="1"/>
  <c r="R52" i="2"/>
  <c r="M13" i="3" s="1"/>
  <c r="S52" i="2"/>
  <c r="N13" i="3" s="1"/>
  <c r="N53" i="2"/>
  <c r="O13" i="3" s="1"/>
  <c r="O53" i="2"/>
  <c r="P13" i="3" s="1"/>
  <c r="P53" i="2"/>
  <c r="Q13" i="3" s="1"/>
  <c r="Q53" i="2"/>
  <c r="R13" i="3" s="1"/>
  <c r="R53" i="2"/>
  <c r="S13" i="3" s="1"/>
  <c r="S53" i="2"/>
  <c r="T13" i="3" s="1"/>
  <c r="N54" i="2"/>
  <c r="U13" i="3" s="1"/>
  <c r="O54" i="2"/>
  <c r="V13" i="3" s="1"/>
  <c r="P54" i="2"/>
  <c r="W13" i="3" s="1"/>
  <c r="Q54" i="2"/>
  <c r="X13" i="3" s="1"/>
  <c r="R54" i="2"/>
  <c r="Y13" i="3" s="1"/>
  <c r="S54" i="2"/>
  <c r="Z13" i="3" s="1"/>
  <c r="N55" i="2"/>
  <c r="AA13" i="3" s="1"/>
  <c r="O55" i="2"/>
  <c r="AB13" i="3" s="1"/>
  <c r="P55" i="2"/>
  <c r="AC13" i="3" s="1"/>
  <c r="Q55" i="2"/>
  <c r="AD13" i="3" s="1"/>
  <c r="R55" i="2"/>
  <c r="AE13" i="3" s="1"/>
  <c r="S55" i="2"/>
  <c r="AF13" i="3" s="1"/>
  <c r="N56" i="2"/>
  <c r="AG13" i="3" s="1"/>
  <c r="O56" i="2"/>
  <c r="AH13" i="3" s="1"/>
  <c r="P56" i="2"/>
  <c r="AI13" i="3" s="1"/>
  <c r="Q56" i="2"/>
  <c r="AJ13" i="3" s="1"/>
  <c r="R56" i="2"/>
  <c r="AK13" i="3" s="1"/>
  <c r="S56" i="2"/>
  <c r="AL13" i="3" s="1"/>
  <c r="O51" i="2"/>
  <c r="D13" i="3" s="1"/>
  <c r="P51" i="2"/>
  <c r="E13" i="3" s="1"/>
  <c r="Q51" i="2"/>
  <c r="F13" i="3" s="1"/>
  <c r="R51" i="2"/>
  <c r="G13" i="3" s="1"/>
  <c r="S51" i="2"/>
  <c r="H13" i="3" s="1"/>
  <c r="N51" i="2"/>
  <c r="C13" i="3" s="1"/>
  <c r="N45" i="2"/>
  <c r="I12" i="3" s="1"/>
  <c r="O45" i="2"/>
  <c r="J12" i="3" s="1"/>
  <c r="P45" i="2"/>
  <c r="K12" i="3" s="1"/>
  <c r="Q45" i="2"/>
  <c r="L12" i="3" s="1"/>
  <c r="R45" i="2"/>
  <c r="M12" i="3" s="1"/>
  <c r="S45" i="2"/>
  <c r="N12" i="3" s="1"/>
  <c r="N46" i="2"/>
  <c r="O12" i="3" s="1"/>
  <c r="O46" i="2"/>
  <c r="P12" i="3" s="1"/>
  <c r="P46" i="2"/>
  <c r="Q12" i="3" s="1"/>
  <c r="Q46" i="2"/>
  <c r="R12" i="3" s="1"/>
  <c r="R46" i="2"/>
  <c r="S12" i="3" s="1"/>
  <c r="S46" i="2"/>
  <c r="T12" i="3" s="1"/>
  <c r="N47" i="2"/>
  <c r="U12" i="3" s="1"/>
  <c r="O47" i="2"/>
  <c r="V12" i="3" s="1"/>
  <c r="P47" i="2"/>
  <c r="W12" i="3" s="1"/>
  <c r="Q47" i="2"/>
  <c r="X12" i="3" s="1"/>
  <c r="R47" i="2"/>
  <c r="Y12" i="3" s="1"/>
  <c r="S47" i="2"/>
  <c r="Z12" i="3" s="1"/>
  <c r="N48" i="2"/>
  <c r="AA12" i="3" s="1"/>
  <c r="O48" i="2"/>
  <c r="AB12" i="3" s="1"/>
  <c r="P48" i="2"/>
  <c r="AC12" i="3" s="1"/>
  <c r="Q48" i="2"/>
  <c r="AD12" i="3" s="1"/>
  <c r="R48" i="2"/>
  <c r="AE12" i="3" s="1"/>
  <c r="S48" i="2"/>
  <c r="AF12" i="3" s="1"/>
  <c r="N49" i="2"/>
  <c r="AG12" i="3" s="1"/>
  <c r="O49" i="2"/>
  <c r="AH12" i="3" s="1"/>
  <c r="P49" i="2"/>
  <c r="AI12" i="3" s="1"/>
  <c r="Q49" i="2"/>
  <c r="AJ12" i="3" s="1"/>
  <c r="R49" i="2"/>
  <c r="AK12" i="3" s="1"/>
  <c r="S49" i="2"/>
  <c r="AL12" i="3" s="1"/>
  <c r="S44" i="2"/>
  <c r="H12" i="3" s="1"/>
  <c r="O44" i="2"/>
  <c r="D12" i="3" s="1"/>
  <c r="P44" i="2"/>
  <c r="E12" i="3" s="1"/>
  <c r="Q44" i="2"/>
  <c r="F12" i="3" s="1"/>
  <c r="R44" i="2"/>
  <c r="G12" i="3" s="1"/>
  <c r="N44" i="2"/>
  <c r="C12" i="3" s="1"/>
  <c r="N38" i="2"/>
  <c r="I11" i="3" s="1"/>
  <c r="O38" i="2"/>
  <c r="J11" i="3" s="1"/>
  <c r="P38" i="2"/>
  <c r="K11" i="3" s="1"/>
  <c r="Q38" i="2"/>
  <c r="L11" i="3" s="1"/>
  <c r="R38" i="2"/>
  <c r="M11" i="3" s="1"/>
  <c r="S38" i="2"/>
  <c r="N11" i="3" s="1"/>
  <c r="N39" i="2"/>
  <c r="O11" i="3" s="1"/>
  <c r="O39" i="2"/>
  <c r="P11" i="3" s="1"/>
  <c r="P39" i="2"/>
  <c r="Q11" i="3" s="1"/>
  <c r="Q39" i="2"/>
  <c r="R11" i="3" s="1"/>
  <c r="R39" i="2"/>
  <c r="S11" i="3" s="1"/>
  <c r="S39" i="2"/>
  <c r="T11" i="3" s="1"/>
  <c r="N40" i="2"/>
  <c r="U11" i="3" s="1"/>
  <c r="O40" i="2"/>
  <c r="V11" i="3" s="1"/>
  <c r="P40" i="2"/>
  <c r="W11" i="3" s="1"/>
  <c r="Q40" i="2"/>
  <c r="X11" i="3" s="1"/>
  <c r="R40" i="2"/>
  <c r="Y11" i="3" s="1"/>
  <c r="S40" i="2"/>
  <c r="Z11" i="3" s="1"/>
  <c r="N41" i="2"/>
  <c r="AA11" i="3" s="1"/>
  <c r="O41" i="2"/>
  <c r="AB11" i="3" s="1"/>
  <c r="P41" i="2"/>
  <c r="AC11" i="3" s="1"/>
  <c r="Q41" i="2"/>
  <c r="AD11" i="3" s="1"/>
  <c r="R41" i="2"/>
  <c r="AE11" i="3" s="1"/>
  <c r="S41" i="2"/>
  <c r="AF11" i="3" s="1"/>
  <c r="N42" i="2"/>
  <c r="AG11" i="3" s="1"/>
  <c r="O42" i="2"/>
  <c r="AH11" i="3" s="1"/>
  <c r="P42" i="2"/>
  <c r="AI11" i="3" s="1"/>
  <c r="Q42" i="2"/>
  <c r="AJ11" i="3" s="1"/>
  <c r="R42" i="2"/>
  <c r="AK11" i="3" s="1"/>
  <c r="S42" i="2"/>
  <c r="AL11" i="3" s="1"/>
  <c r="O37" i="2"/>
  <c r="D11" i="3" s="1"/>
  <c r="P37" i="2"/>
  <c r="E11" i="3" s="1"/>
  <c r="Q37" i="2"/>
  <c r="F11" i="3" s="1"/>
  <c r="R37" i="2"/>
  <c r="G11" i="3" s="1"/>
  <c r="S37" i="2"/>
  <c r="H11" i="3" s="1"/>
  <c r="N37" i="2"/>
  <c r="C11" i="3" s="1"/>
  <c r="N31" i="2"/>
  <c r="I10" i="3" s="1"/>
  <c r="I20" s="1"/>
  <c r="O31" i="2"/>
  <c r="J10" i="3" s="1"/>
  <c r="J20" s="1"/>
  <c r="P31" i="2"/>
  <c r="K10" i="3" s="1"/>
  <c r="K20" s="1"/>
  <c r="Q31" i="2"/>
  <c r="L10" i="3" s="1"/>
  <c r="L20" s="1"/>
  <c r="R31" i="2"/>
  <c r="M10" i="3" s="1"/>
  <c r="M20" s="1"/>
  <c r="S31" i="2"/>
  <c r="N10" i="3" s="1"/>
  <c r="N20" s="1"/>
  <c r="N32" i="2"/>
  <c r="O10" i="3" s="1"/>
  <c r="O20" s="1"/>
  <c r="O32" i="2"/>
  <c r="P10" i="3" s="1"/>
  <c r="P20" s="1"/>
  <c r="P32" i="2"/>
  <c r="Q10" i="3" s="1"/>
  <c r="Q20" s="1"/>
  <c r="Q32" i="2"/>
  <c r="R10" i="3" s="1"/>
  <c r="R20" s="1"/>
  <c r="R32" i="2"/>
  <c r="S10" i="3" s="1"/>
  <c r="S20" s="1"/>
  <c r="S32" i="2"/>
  <c r="T10" i="3" s="1"/>
  <c r="T20" s="1"/>
  <c r="N33" i="2"/>
  <c r="U10" i="3" s="1"/>
  <c r="U20" s="1"/>
  <c r="O33" i="2"/>
  <c r="V10" i="3" s="1"/>
  <c r="V20" s="1"/>
  <c r="P33" i="2"/>
  <c r="W10" i="3" s="1"/>
  <c r="W20" s="1"/>
  <c r="Q33" i="2"/>
  <c r="X10" i="3" s="1"/>
  <c r="X20" s="1"/>
  <c r="R33" i="2"/>
  <c r="Y10" i="3" s="1"/>
  <c r="Y20" s="1"/>
  <c r="S33" i="2"/>
  <c r="Z10" i="3" s="1"/>
  <c r="Z20" s="1"/>
  <c r="N34" i="2"/>
  <c r="AA10" i="3" s="1"/>
  <c r="AA20" s="1"/>
  <c r="O34" i="2"/>
  <c r="AB10" i="3" s="1"/>
  <c r="AB20" s="1"/>
  <c r="P34" i="2"/>
  <c r="AC10" i="3" s="1"/>
  <c r="AC20" s="1"/>
  <c r="Q34" i="2"/>
  <c r="AD10" i="3" s="1"/>
  <c r="AD20" s="1"/>
  <c r="R34" i="2"/>
  <c r="AE10" i="3" s="1"/>
  <c r="AE20" s="1"/>
  <c r="S34" i="2"/>
  <c r="AF10" i="3" s="1"/>
  <c r="AF20" s="1"/>
  <c r="N35" i="2"/>
  <c r="AG10" i="3" s="1"/>
  <c r="AG20" s="1"/>
  <c r="O35" i="2"/>
  <c r="AH10" i="3" s="1"/>
  <c r="AH20" s="1"/>
  <c r="P35" i="2"/>
  <c r="AI10" i="3" s="1"/>
  <c r="AI20" s="1"/>
  <c r="Q35" i="2"/>
  <c r="AJ10" i="3" s="1"/>
  <c r="AJ20" s="1"/>
  <c r="R35" i="2"/>
  <c r="AK10" i="3" s="1"/>
  <c r="AK20" s="1"/>
  <c r="S35" i="2"/>
  <c r="AL10" i="3" s="1"/>
  <c r="AL20" s="1"/>
  <c r="O30" i="2"/>
  <c r="D10" i="3" s="1"/>
  <c r="D20" s="1"/>
  <c r="P30" i="2"/>
  <c r="E10" i="3" s="1"/>
  <c r="E20" s="1"/>
  <c r="Q30" i="2"/>
  <c r="F10" i="3" s="1"/>
  <c r="F20" s="1"/>
  <c r="R30" i="2"/>
  <c r="G10" i="3" s="1"/>
  <c r="G20" s="1"/>
  <c r="S30" i="2"/>
  <c r="H10" i="3" s="1"/>
  <c r="H20" s="1"/>
  <c r="N30" i="2"/>
  <c r="C10" i="3" s="1"/>
  <c r="C20" s="1"/>
  <c r="N24" i="2"/>
  <c r="I9" i="3" s="1"/>
  <c r="O24" i="2"/>
  <c r="J9" i="3" s="1"/>
  <c r="P24" i="2"/>
  <c r="K9" i="3" s="1"/>
  <c r="Q24" i="2"/>
  <c r="L9" i="3" s="1"/>
  <c r="R24" i="2"/>
  <c r="M9" i="3" s="1"/>
  <c r="S24" i="2"/>
  <c r="N9" i="3" s="1"/>
  <c r="N25" i="2"/>
  <c r="O9" i="3" s="1"/>
  <c r="O25" i="2"/>
  <c r="P9" i="3" s="1"/>
  <c r="P25" i="2"/>
  <c r="Q9" i="3" s="1"/>
  <c r="Q25" i="2"/>
  <c r="R9" i="3" s="1"/>
  <c r="R25" i="2"/>
  <c r="S9" i="3" s="1"/>
  <c r="S25" i="2"/>
  <c r="T9" i="3" s="1"/>
  <c r="N26" i="2"/>
  <c r="U9" i="3" s="1"/>
  <c r="O26" i="2"/>
  <c r="V9" i="3" s="1"/>
  <c r="P26" i="2"/>
  <c r="W9" i="3" s="1"/>
  <c r="Q26" i="2"/>
  <c r="X9" i="3" s="1"/>
  <c r="R26" i="2"/>
  <c r="Y9" i="3" s="1"/>
  <c r="S26" i="2"/>
  <c r="Z9" i="3" s="1"/>
  <c r="N27" i="2"/>
  <c r="AA9" i="3" s="1"/>
  <c r="O27" i="2"/>
  <c r="AB9" i="3" s="1"/>
  <c r="P27" i="2"/>
  <c r="AC9" i="3" s="1"/>
  <c r="Q27" i="2"/>
  <c r="AD9" i="3" s="1"/>
  <c r="R27" i="2"/>
  <c r="AE9" i="3" s="1"/>
  <c r="S27" i="2"/>
  <c r="AF9" i="3" s="1"/>
  <c r="N28" i="2"/>
  <c r="AG9" i="3" s="1"/>
  <c r="O28" i="2"/>
  <c r="AH9" i="3" s="1"/>
  <c r="P28" i="2"/>
  <c r="AI9" i="3" s="1"/>
  <c r="Q28" i="2"/>
  <c r="AJ9" i="3" s="1"/>
  <c r="R28" i="2"/>
  <c r="AK9" i="3" s="1"/>
  <c r="S28" i="2"/>
  <c r="AL9" i="3" s="1"/>
  <c r="O23" i="2"/>
  <c r="D9" i="3" s="1"/>
  <c r="P23" i="2"/>
  <c r="E9" i="3" s="1"/>
  <c r="Q23" i="2"/>
  <c r="F9" i="3" s="1"/>
  <c r="R23" i="2"/>
  <c r="G9" i="3" s="1"/>
  <c r="S23" i="2"/>
  <c r="H9" i="3" s="1"/>
  <c r="N23" i="2"/>
  <c r="C9" i="3" s="1"/>
  <c r="N17" i="2"/>
  <c r="I8" i="3" s="1"/>
  <c r="O17" i="2"/>
  <c r="J8" i="3" s="1"/>
  <c r="P17" i="2"/>
  <c r="K8" i="3" s="1"/>
  <c r="Q17" i="2"/>
  <c r="L8" i="3" s="1"/>
  <c r="R17" i="2"/>
  <c r="M8" i="3" s="1"/>
  <c r="S17" i="2"/>
  <c r="N8" i="3" s="1"/>
  <c r="N18" i="2"/>
  <c r="O8" i="3" s="1"/>
  <c r="O18" i="2"/>
  <c r="P8" i="3" s="1"/>
  <c r="P18" i="2"/>
  <c r="Q8" i="3" s="1"/>
  <c r="Q18" i="2"/>
  <c r="R8" i="3" s="1"/>
  <c r="R18" i="2"/>
  <c r="S8" i="3" s="1"/>
  <c r="S18" i="2"/>
  <c r="T8" i="3" s="1"/>
  <c r="N19" i="2"/>
  <c r="U8" i="3" s="1"/>
  <c r="O19" i="2"/>
  <c r="V8" i="3" s="1"/>
  <c r="P19" i="2"/>
  <c r="W8" i="3" s="1"/>
  <c r="Q19" i="2"/>
  <c r="X8" i="3" s="1"/>
  <c r="R19" i="2"/>
  <c r="Y8" i="3" s="1"/>
  <c r="S19" i="2"/>
  <c r="Z8" i="3" s="1"/>
  <c r="N20" i="2"/>
  <c r="AA8" i="3" s="1"/>
  <c r="O20" i="2"/>
  <c r="AB8" i="3" s="1"/>
  <c r="P20" i="2"/>
  <c r="AC8" i="3" s="1"/>
  <c r="Q20" i="2"/>
  <c r="AD8" i="3" s="1"/>
  <c r="R20" i="2"/>
  <c r="AE8" i="3" s="1"/>
  <c r="S20" i="2"/>
  <c r="AF8" i="3" s="1"/>
  <c r="N21" i="2"/>
  <c r="AG8" i="3" s="1"/>
  <c r="O21" i="2"/>
  <c r="AH8" i="3" s="1"/>
  <c r="P21" i="2"/>
  <c r="AI8" i="3" s="1"/>
  <c r="Q21" i="2"/>
  <c r="AJ8" i="3" s="1"/>
  <c r="R21" i="2"/>
  <c r="AK8" i="3" s="1"/>
  <c r="S21" i="2"/>
  <c r="AL8" i="3" s="1"/>
  <c r="O16" i="2"/>
  <c r="D8" i="3" s="1"/>
  <c r="P16" i="2"/>
  <c r="E8" i="3" s="1"/>
  <c r="Q16" i="2"/>
  <c r="F8" i="3" s="1"/>
  <c r="R16" i="2"/>
  <c r="G8" i="3" s="1"/>
  <c r="S16" i="2"/>
  <c r="H8" i="3" s="1"/>
  <c r="N16" i="2"/>
  <c r="C8" i="3" s="1"/>
  <c r="N10" i="2"/>
  <c r="I7" i="3" s="1"/>
  <c r="O10" i="2"/>
  <c r="J7" i="3" s="1"/>
  <c r="P10" i="2"/>
  <c r="K7" i="3" s="1"/>
  <c r="Q10" i="2"/>
  <c r="L7" i="3" s="1"/>
  <c r="R10" i="2"/>
  <c r="M7" i="3" s="1"/>
  <c r="S10" i="2"/>
  <c r="N7" i="3" s="1"/>
  <c r="N11" i="2"/>
  <c r="O7" i="3" s="1"/>
  <c r="O11" i="2"/>
  <c r="P7" i="3" s="1"/>
  <c r="P11" i="2"/>
  <c r="Q7" i="3" s="1"/>
  <c r="Q11" i="2"/>
  <c r="R7" i="3" s="1"/>
  <c r="R11" i="2"/>
  <c r="S7" i="3" s="1"/>
  <c r="S11" i="2"/>
  <c r="T7" i="3" s="1"/>
  <c r="N12" i="2"/>
  <c r="U7" i="3" s="1"/>
  <c r="O12" i="2"/>
  <c r="V7" i="3" s="1"/>
  <c r="P12" i="2"/>
  <c r="W7" i="3" s="1"/>
  <c r="Q12" i="2"/>
  <c r="X7" i="3" s="1"/>
  <c r="R12" i="2"/>
  <c r="Y7" i="3" s="1"/>
  <c r="S12" i="2"/>
  <c r="Z7" i="3" s="1"/>
  <c r="N13" i="2"/>
  <c r="AA7" i="3" s="1"/>
  <c r="O13" i="2"/>
  <c r="AB7" i="3" s="1"/>
  <c r="P13" i="2"/>
  <c r="AC7" i="3" s="1"/>
  <c r="Q13" i="2"/>
  <c r="AD7" i="3" s="1"/>
  <c r="R13" i="2"/>
  <c r="AE7" i="3" s="1"/>
  <c r="S13" i="2"/>
  <c r="AF7" i="3" s="1"/>
  <c r="N14" i="2"/>
  <c r="AG7" i="3" s="1"/>
  <c r="O14" i="2"/>
  <c r="AH7" i="3" s="1"/>
  <c r="P14" i="2"/>
  <c r="AI7" i="3" s="1"/>
  <c r="Q14" i="2"/>
  <c r="AJ7" i="3" s="1"/>
  <c r="R14" i="2"/>
  <c r="AK7" i="3" s="1"/>
  <c r="S14" i="2"/>
  <c r="AL7" i="3" s="1"/>
  <c r="O9" i="2"/>
  <c r="D7" i="3" s="1"/>
  <c r="P9" i="2"/>
  <c r="E7" i="3" s="1"/>
  <c r="Q9" i="2"/>
  <c r="F7" i="3" s="1"/>
  <c r="R9" i="2"/>
  <c r="G7" i="3" s="1"/>
  <c r="S9" i="2"/>
  <c r="H7" i="3" s="1"/>
  <c r="N9" i="2"/>
  <c r="C7" i="3" s="1"/>
  <c r="P133" i="2"/>
  <c r="Q133"/>
  <c r="R133"/>
  <c r="S133"/>
  <c r="T133"/>
  <c r="U133"/>
  <c r="Z133"/>
  <c r="AH133"/>
  <c r="AK133"/>
  <c r="M133"/>
  <c r="R138" l="1"/>
  <c r="J30" i="3"/>
  <c r="J29"/>
  <c r="J28"/>
  <c r="J27"/>
  <c r="J26"/>
  <c r="J25"/>
  <c r="R140" i="2"/>
  <c r="R143"/>
  <c r="R142"/>
  <c r="R141"/>
  <c r="R139"/>
  <c r="E40" i="3" l="1"/>
  <c r="Q26" s="1"/>
  <c r="S26" s="1"/>
  <c r="S36" s="1"/>
  <c r="M147" i="2"/>
  <c r="O147" l="1"/>
  <c r="O150" s="1"/>
</calcChain>
</file>

<file path=xl/sharedStrings.xml><?xml version="1.0" encoding="utf-8"?>
<sst xmlns="http://schemas.openxmlformats.org/spreadsheetml/2006/main" count="695" uniqueCount="96">
  <si>
    <t>Shape Recognizer</t>
  </si>
  <si>
    <t>Copyright (C)1994, Cheshire Engineering Corp</t>
  </si>
  <si>
    <t>Blob</t>
  </si>
  <si>
    <t>.</t>
  </si>
  <si>
    <t>X</t>
  </si>
  <si>
    <t>Yes</t>
  </si>
  <si>
    <t>No</t>
  </si>
  <si>
    <t>Input Patterns</t>
  </si>
  <si>
    <t>1,1</t>
  </si>
  <si>
    <t>1,2</t>
  </si>
  <si>
    <t>1,3</t>
  </si>
  <si>
    <t>1,4</t>
  </si>
  <si>
    <t>1,5</t>
  </si>
  <si>
    <t>1,6</t>
  </si>
  <si>
    <t>2,1</t>
  </si>
  <si>
    <t>2,2</t>
  </si>
  <si>
    <t>2,3</t>
  </si>
  <si>
    <t>2,4</t>
  </si>
  <si>
    <t>2,5</t>
  </si>
  <si>
    <t>2,6</t>
  </si>
  <si>
    <t>3,1</t>
  </si>
  <si>
    <t>3,2</t>
  </si>
  <si>
    <t>3,3</t>
  </si>
  <si>
    <t>3,4</t>
  </si>
  <si>
    <t>3,5</t>
  </si>
  <si>
    <t>3,6</t>
  </si>
  <si>
    <t>4,1</t>
  </si>
  <si>
    <t>4,2</t>
  </si>
  <si>
    <t>4,3</t>
  </si>
  <si>
    <t>4,4</t>
  </si>
  <si>
    <t>4,5</t>
  </si>
  <si>
    <t>4,6</t>
  </si>
  <si>
    <t>5,1</t>
  </si>
  <si>
    <t>5,2</t>
  </si>
  <si>
    <t>5,3</t>
  </si>
  <si>
    <t>5,4</t>
  </si>
  <si>
    <t>5,5</t>
  </si>
  <si>
    <t>5,6</t>
  </si>
  <si>
    <t>6,1</t>
  </si>
  <si>
    <t>6,2</t>
  </si>
  <si>
    <t>6,3</t>
  </si>
  <si>
    <t>6,4</t>
  </si>
  <si>
    <t>6,5</t>
  </si>
  <si>
    <t>6,6</t>
  </si>
  <si>
    <t>Input Matrix (Symbolic)</t>
  </si>
  <si>
    <t>Parttern</t>
  </si>
  <si>
    <t>obs1</t>
  </si>
  <si>
    <t>n1</t>
  </si>
  <si>
    <t>bias</t>
  </si>
  <si>
    <t>w1</t>
  </si>
  <si>
    <t>w2</t>
  </si>
  <si>
    <t>w3</t>
  </si>
  <si>
    <t>w4</t>
  </si>
  <si>
    <t>w5</t>
  </si>
  <si>
    <t>w6</t>
  </si>
  <si>
    <t>response</t>
  </si>
  <si>
    <t>Layer 2</t>
  </si>
  <si>
    <t>obs</t>
  </si>
  <si>
    <t>actual</t>
  </si>
  <si>
    <t>Target</t>
  </si>
  <si>
    <t>diff^2</t>
  </si>
  <si>
    <t>Response</t>
  </si>
  <si>
    <t>Actual Value</t>
  </si>
  <si>
    <t>WHAT IF DATA TABLE</t>
  </si>
  <si>
    <t>Bias</t>
  </si>
  <si>
    <t>HIDDEN LAYER</t>
  </si>
  <si>
    <t>Hidden layer</t>
  </si>
  <si>
    <t>neuron 1</t>
  </si>
  <si>
    <t>neuron 2</t>
  </si>
  <si>
    <t>neuron 3</t>
  </si>
  <si>
    <t>neuron 4</t>
  </si>
  <si>
    <t>neuron 5</t>
  </si>
  <si>
    <t>neuron 6</t>
  </si>
  <si>
    <t>weight 1</t>
  </si>
  <si>
    <t>weight 2</t>
  </si>
  <si>
    <t>weight 3</t>
  </si>
  <si>
    <t>weight 4</t>
  </si>
  <si>
    <t>weight 5</t>
  </si>
  <si>
    <t>weight 6</t>
  </si>
  <si>
    <t>Output layer</t>
  </si>
  <si>
    <t>Total Sum of Diff^2 =</t>
  </si>
  <si>
    <t>Input Shape</t>
  </si>
  <si>
    <t>Symbolic form</t>
  </si>
  <si>
    <t>Row wise arrangement</t>
  </si>
  <si>
    <t>Thresholding</t>
  </si>
  <si>
    <t>Sqaure or not ?</t>
  </si>
  <si>
    <t>Inputs Pattern</t>
  </si>
  <si>
    <t>INPUT LAYER (INDEX TABLE)</t>
  </si>
  <si>
    <t>SQUATE PATTERN RECOGNIZATION</t>
  </si>
  <si>
    <t>TargetsSquare(Yes/No)</t>
  </si>
  <si>
    <t>Sl No</t>
  </si>
  <si>
    <t>TRAINING DATA</t>
  </si>
  <si>
    <t>TESTING DATA</t>
  </si>
  <si>
    <t>TESTING</t>
  </si>
  <si>
    <t>?</t>
  </si>
  <si>
    <t>PREDICTION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</si>
</sst>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0"/>
      <name val="Helv"/>
    </font>
    <font>
      <b/>
      <sz val="10"/>
      <name val="Helv"/>
    </font>
    <font>
      <b/>
      <i/>
      <sz val="10"/>
      <name val="Helv"/>
    </font>
    <font>
      <b/>
      <sz val="12"/>
      <name val="Helv"/>
    </font>
    <font>
      <b/>
      <sz val="11"/>
      <name val="Helv"/>
    </font>
    <font>
      <sz val="14"/>
      <color rgb="FFFF0000"/>
      <name val="Helv"/>
    </font>
    <font>
      <sz val="18"/>
      <color rgb="FFFF0000"/>
      <name val="Helv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Alignmen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1" fontId="1" fillId="6" borderId="10" xfId="0" applyNumberFormat="1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7" borderId="10" xfId="0" applyFill="1" applyBorder="1" applyAlignment="1">
      <alignment horizontal="center" vertical="center"/>
    </xf>
    <xf numFmtId="1" fontId="0" fillId="7" borderId="10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horizontal="center"/>
    </xf>
    <xf numFmtId="0" fontId="1" fillId="0" borderId="0" xfId="0" applyFont="1" applyAlignment="1"/>
    <xf numFmtId="0" fontId="1" fillId="0" borderId="1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/>
    <xf numFmtId="0" fontId="0" fillId="7" borderId="0" xfId="0" applyFill="1" applyAlignment="1">
      <alignment horizontal="center"/>
    </xf>
    <xf numFmtId="0" fontId="1" fillId="7" borderId="14" xfId="0" applyFont="1" applyFill="1" applyBorder="1" applyAlignment="1">
      <alignment horizontal="center" vertical="center"/>
    </xf>
    <xf numFmtId="1" fontId="1" fillId="7" borderId="10" xfId="0" applyNumberFormat="1" applyFont="1" applyFill="1" applyBorder="1" applyAlignment="1">
      <alignment horizontal="center" vertical="center"/>
    </xf>
    <xf numFmtId="1" fontId="1" fillId="7" borderId="22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/>
    </xf>
    <xf numFmtId="1" fontId="1" fillId="5" borderId="10" xfId="0" applyNumberFormat="1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4" borderId="7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1" fontId="6" fillId="3" borderId="3" xfId="0" applyNumberFormat="1" applyFont="1" applyFill="1" applyBorder="1" applyAlignment="1">
      <alignment horizontal="center"/>
    </xf>
    <xf numFmtId="1" fontId="6" fillId="3" borderId="5" xfId="0" applyNumberFormat="1" applyFont="1" applyFill="1" applyBorder="1" applyAlignment="1">
      <alignment horizontal="center"/>
    </xf>
    <xf numFmtId="1" fontId="6" fillId="3" borderId="6" xfId="0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1" fontId="1" fillId="4" borderId="8" xfId="0" applyNumberFormat="1" applyFont="1" applyFill="1" applyBorder="1" applyAlignment="1">
      <alignment horizontal="center"/>
    </xf>
    <xf numFmtId="1" fontId="1" fillId="4" borderId="9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1" fontId="4" fillId="5" borderId="10" xfId="0" applyNumberFormat="1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130</xdr:row>
      <xdr:rowOff>114300</xdr:rowOff>
    </xdr:from>
    <xdr:to>
      <xdr:col>9</xdr:col>
      <xdr:colOff>276225</xdr:colOff>
      <xdr:row>131</xdr:row>
      <xdr:rowOff>104775</xdr:rowOff>
    </xdr:to>
    <xdr:sp macro="" textlink="">
      <xdr:nvSpPr>
        <xdr:cNvPr id="2" name="Left Arrow 1"/>
        <xdr:cNvSpPr/>
      </xdr:nvSpPr>
      <xdr:spPr>
        <a:xfrm rot="11825820">
          <a:off x="3000375" y="20393025"/>
          <a:ext cx="666750" cy="152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20</xdr:row>
      <xdr:rowOff>57150</xdr:rowOff>
    </xdr:from>
    <xdr:to>
      <xdr:col>5</xdr:col>
      <xdr:colOff>447675</xdr:colOff>
      <xdr:row>21</xdr:row>
      <xdr:rowOff>104775</xdr:rowOff>
    </xdr:to>
    <xdr:sp macro="" textlink="">
      <xdr:nvSpPr>
        <xdr:cNvPr id="2" name="Down Arrow 1"/>
        <xdr:cNvSpPr/>
      </xdr:nvSpPr>
      <xdr:spPr>
        <a:xfrm>
          <a:off x="3314700" y="3295650"/>
          <a:ext cx="133350" cy="209550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590550</xdr:colOff>
      <xdr:row>30</xdr:row>
      <xdr:rowOff>57150</xdr:rowOff>
    </xdr:from>
    <xdr:to>
      <xdr:col>2</xdr:col>
      <xdr:colOff>123825</xdr:colOff>
      <xdr:row>31</xdr:row>
      <xdr:rowOff>104775</xdr:rowOff>
    </xdr:to>
    <xdr:sp macro="" textlink="">
      <xdr:nvSpPr>
        <xdr:cNvPr id="3" name="Down Arrow 2"/>
        <xdr:cNvSpPr/>
      </xdr:nvSpPr>
      <xdr:spPr>
        <a:xfrm>
          <a:off x="1190625" y="4924425"/>
          <a:ext cx="133350" cy="209550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76200</xdr:colOff>
      <xdr:row>19</xdr:row>
      <xdr:rowOff>85725</xdr:rowOff>
    </xdr:from>
    <xdr:to>
      <xdr:col>1</xdr:col>
      <xdr:colOff>9525</xdr:colOff>
      <xdr:row>19</xdr:row>
      <xdr:rowOff>87314</xdr:rowOff>
    </xdr:to>
    <xdr:cxnSp macro="">
      <xdr:nvCxnSpPr>
        <xdr:cNvPr id="7" name="Straight Connector 6"/>
        <xdr:cNvCxnSpPr/>
      </xdr:nvCxnSpPr>
      <xdr:spPr>
        <a:xfrm>
          <a:off x="76200" y="3162300"/>
          <a:ext cx="533400" cy="15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5</xdr:row>
      <xdr:rowOff>152401</xdr:rowOff>
    </xdr:from>
    <xdr:to>
      <xdr:col>0</xdr:col>
      <xdr:colOff>542925</xdr:colOff>
      <xdr:row>15</xdr:row>
      <xdr:rowOff>152401</xdr:rowOff>
    </xdr:to>
    <xdr:sp macro="" textlink="">
      <xdr:nvSpPr>
        <xdr:cNvPr id="13" name="Left Brace 12"/>
        <xdr:cNvSpPr/>
      </xdr:nvSpPr>
      <xdr:spPr>
        <a:xfrm>
          <a:off x="219075" y="962026"/>
          <a:ext cx="323850" cy="1619250"/>
        </a:xfrm>
        <a:prstGeom prst="lef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57150</xdr:colOff>
      <xdr:row>11</xdr:row>
      <xdr:rowOff>1</xdr:rowOff>
    </xdr:from>
    <xdr:to>
      <xdr:col>0</xdr:col>
      <xdr:colOff>66675</xdr:colOff>
      <xdr:row>19</xdr:row>
      <xdr:rowOff>66676</xdr:rowOff>
    </xdr:to>
    <xdr:cxnSp macro="">
      <xdr:nvCxnSpPr>
        <xdr:cNvPr id="18" name="Straight Connector 17"/>
        <xdr:cNvCxnSpPr/>
      </xdr:nvCxnSpPr>
      <xdr:spPr>
        <a:xfrm rot="5400000" flipH="1" flipV="1">
          <a:off x="-619125" y="2457451"/>
          <a:ext cx="13620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152400</xdr:rowOff>
    </xdr:from>
    <xdr:to>
      <xdr:col>0</xdr:col>
      <xdr:colOff>219075</xdr:colOff>
      <xdr:row>10</xdr:row>
      <xdr:rowOff>152401</xdr:rowOff>
    </xdr:to>
    <xdr:cxnSp macro="">
      <xdr:nvCxnSpPr>
        <xdr:cNvPr id="28" name="Straight Connector 27"/>
        <xdr:cNvCxnSpPr>
          <a:endCxn id="13" idx="1"/>
        </xdr:cNvCxnSpPr>
      </xdr:nvCxnSpPr>
      <xdr:spPr>
        <a:xfrm>
          <a:off x="0" y="1771650"/>
          <a:ext cx="2190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142877</xdr:colOff>
      <xdr:row>38</xdr:row>
      <xdr:rowOff>180975</xdr:rowOff>
    </xdr:from>
    <xdr:to>
      <xdr:col>3</xdr:col>
      <xdr:colOff>438154</xdr:colOff>
      <xdr:row>39</xdr:row>
      <xdr:rowOff>142879</xdr:rowOff>
    </xdr:to>
    <xdr:sp macro="" textlink="">
      <xdr:nvSpPr>
        <xdr:cNvPr id="29" name="Down Arrow 28"/>
        <xdr:cNvSpPr/>
      </xdr:nvSpPr>
      <xdr:spPr>
        <a:xfrm rot="16200000">
          <a:off x="2005014" y="6329363"/>
          <a:ext cx="171454" cy="295277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K154"/>
  <sheetViews>
    <sheetView tabSelected="1" workbookViewId="0">
      <selection activeCell="J127" sqref="J127"/>
    </sheetView>
  </sheetViews>
  <sheetFormatPr defaultRowHeight="12.75"/>
  <cols>
    <col min="1" max="1" width="9.140625" style="13"/>
    <col min="2" max="2" width="8.28515625" style="32" customWidth="1"/>
    <col min="3" max="3" width="3.28515625" style="13" customWidth="1"/>
    <col min="4" max="4" width="5" style="13" customWidth="1"/>
    <col min="5" max="5" width="4.7109375" style="13" customWidth="1"/>
    <col min="6" max="6" width="4.28515625" style="13" customWidth="1"/>
    <col min="7" max="7" width="5.140625" style="13" customWidth="1"/>
    <col min="8" max="8" width="4" style="13" customWidth="1"/>
    <col min="9" max="9" width="7" style="32" customWidth="1"/>
    <col min="10" max="10" width="27.5703125" style="13" customWidth="1"/>
    <col min="11" max="11" width="7.85546875" style="32" customWidth="1"/>
    <col min="12" max="12" width="25" style="13" customWidth="1"/>
    <col min="13" max="13" width="12.42578125" style="32" customWidth="1"/>
    <col min="14" max="14" width="11.140625" style="13" customWidth="1"/>
    <col min="15" max="15" width="11.42578125" style="13" customWidth="1"/>
    <col min="16" max="16" width="12.28515625" style="13" bestFit="1" customWidth="1"/>
    <col min="17" max="17" width="9.140625" style="13"/>
    <col min="18" max="18" width="12.28515625" style="13" bestFit="1" customWidth="1"/>
    <col min="19" max="19" width="9.140625" style="13"/>
    <col min="20" max="20" width="12.28515625" style="13" bestFit="1" customWidth="1"/>
    <col min="21" max="21" width="12" style="13" bestFit="1" customWidth="1"/>
    <col min="22" max="22" width="12.5703125" style="13" bestFit="1" customWidth="1"/>
    <col min="23" max="23" width="14.28515625" style="10" customWidth="1"/>
    <col min="24" max="24" width="12.28515625" style="10" customWidth="1"/>
    <col min="25" max="25" width="12.5703125" style="10" bestFit="1" customWidth="1"/>
    <col min="26" max="26" width="12" style="10" bestFit="1" customWidth="1"/>
    <col min="27" max="27" width="10" style="10" bestFit="1" customWidth="1"/>
    <col min="28" max="28" width="12" style="10" bestFit="1" customWidth="1"/>
    <col min="29" max="32" width="9.140625" style="10"/>
    <col min="33" max="16384" width="9.140625" style="13"/>
  </cols>
  <sheetData>
    <row r="1" spans="1:63" ht="13.5" thickBot="1">
      <c r="V1" s="10"/>
    </row>
    <row r="2" spans="1:63" ht="12.75" customHeight="1">
      <c r="A2" s="68" t="s">
        <v>88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70"/>
      <c r="V2" s="10"/>
      <c r="W2" s="2" t="s">
        <v>0</v>
      </c>
      <c r="X2" s="2"/>
      <c r="Y2" s="30"/>
      <c r="Z2" s="30"/>
      <c r="AA2" s="30"/>
      <c r="AB2" s="30"/>
      <c r="AC2" s="30"/>
      <c r="AD2" s="30"/>
      <c r="AE2" s="30"/>
      <c r="AF2" s="30"/>
      <c r="AG2" s="30"/>
    </row>
    <row r="3" spans="1:63" s="30" customFormat="1" ht="12.75" customHeight="1" thickBo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3"/>
      <c r="V3" s="10"/>
      <c r="W3" s="2" t="s">
        <v>1</v>
      </c>
      <c r="X3" s="2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</row>
    <row r="4" spans="1:63" s="30" customFormat="1" ht="12.75" customHeight="1">
      <c r="AC4" s="10"/>
      <c r="AD4" s="10"/>
      <c r="AE4" s="10"/>
      <c r="AF4" s="10"/>
    </row>
    <row r="5" spans="1:63" ht="26.25" customHeight="1">
      <c r="A5" s="81" t="s">
        <v>91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V5" s="10"/>
    </row>
    <row r="6" spans="1:63">
      <c r="A6" s="54" t="s">
        <v>90</v>
      </c>
      <c r="B6" s="38"/>
      <c r="C6" s="56" t="s">
        <v>86</v>
      </c>
      <c r="D6" s="56"/>
      <c r="E6" s="56"/>
      <c r="F6" s="56"/>
      <c r="G6" s="56"/>
      <c r="H6" s="56"/>
      <c r="I6" s="38"/>
      <c r="J6" s="56" t="s">
        <v>89</v>
      </c>
      <c r="K6" s="38"/>
      <c r="L6" s="56" t="s">
        <v>2</v>
      </c>
      <c r="M6" s="38"/>
      <c r="N6" s="88" t="s">
        <v>44</v>
      </c>
      <c r="O6" s="88"/>
      <c r="P6" s="88"/>
      <c r="Q6" s="88"/>
      <c r="R6" s="88"/>
      <c r="S6" s="88"/>
      <c r="V6" s="10"/>
    </row>
    <row r="7" spans="1:63">
      <c r="A7" s="55"/>
      <c r="B7" s="38"/>
      <c r="C7" s="57"/>
      <c r="D7" s="57"/>
      <c r="E7" s="57"/>
      <c r="F7" s="57"/>
      <c r="G7" s="57"/>
      <c r="H7" s="57"/>
      <c r="I7" s="38"/>
      <c r="J7" s="57"/>
      <c r="K7" s="38"/>
      <c r="L7" s="57"/>
      <c r="M7" s="38"/>
      <c r="N7" s="78"/>
      <c r="O7" s="78"/>
      <c r="P7" s="78"/>
      <c r="Q7" s="78"/>
      <c r="R7" s="78"/>
      <c r="S7" s="78"/>
    </row>
    <row r="8" spans="1:63">
      <c r="B8" s="39"/>
      <c r="C8" s="4"/>
      <c r="D8" s="4"/>
      <c r="E8" s="4"/>
      <c r="F8" s="4"/>
      <c r="G8" s="4"/>
      <c r="H8" s="4"/>
      <c r="I8" s="39"/>
      <c r="J8" s="4"/>
      <c r="K8" s="39"/>
      <c r="L8" s="4"/>
      <c r="M8" s="39"/>
      <c r="N8" s="4"/>
      <c r="O8" s="4"/>
      <c r="P8" s="4"/>
      <c r="Q8" s="4"/>
      <c r="R8" s="4"/>
      <c r="S8" s="4"/>
    </row>
    <row r="9" spans="1:63">
      <c r="A9" s="74">
        <v>1</v>
      </c>
      <c r="C9" s="34" t="s">
        <v>3</v>
      </c>
      <c r="D9" s="34" t="s">
        <v>3</v>
      </c>
      <c r="E9" s="34" t="s">
        <v>3</v>
      </c>
      <c r="F9" s="34" t="s">
        <v>3</v>
      </c>
      <c r="G9" s="34" t="s">
        <v>3</v>
      </c>
      <c r="H9" s="34" t="s">
        <v>3</v>
      </c>
      <c r="J9" s="62" t="s">
        <v>5</v>
      </c>
      <c r="K9" s="40"/>
      <c r="L9" s="62" t="s">
        <v>6</v>
      </c>
      <c r="N9" s="35">
        <f>IF(C9=".",-1,1)</f>
        <v>-1</v>
      </c>
      <c r="O9" s="14">
        <f t="shared" ref="O9:S9" si="0">IF(D9=".",-1,1)</f>
        <v>-1</v>
      </c>
      <c r="P9" s="14">
        <f t="shared" si="0"/>
        <v>-1</v>
      </c>
      <c r="Q9" s="14">
        <f t="shared" si="0"/>
        <v>-1</v>
      </c>
      <c r="R9" s="14">
        <f t="shared" si="0"/>
        <v>-1</v>
      </c>
      <c r="S9" s="14">
        <f t="shared" si="0"/>
        <v>-1</v>
      </c>
    </row>
    <row r="10" spans="1:63">
      <c r="A10" s="74"/>
      <c r="C10" s="34" t="s">
        <v>3</v>
      </c>
      <c r="D10" s="34" t="s">
        <v>4</v>
      </c>
      <c r="E10" s="34" t="s">
        <v>4</v>
      </c>
      <c r="F10" s="34" t="s">
        <v>4</v>
      </c>
      <c r="G10" s="34" t="s">
        <v>4</v>
      </c>
      <c r="H10" s="34" t="s">
        <v>3</v>
      </c>
      <c r="J10" s="62"/>
      <c r="K10" s="40"/>
      <c r="L10" s="62"/>
      <c r="N10" s="35">
        <f t="shared" ref="N10:N14" si="1">IF(C10=".",-1,1)</f>
        <v>-1</v>
      </c>
      <c r="O10" s="14">
        <f t="shared" ref="O10:O14" si="2">IF(D10=".",-1,1)</f>
        <v>1</v>
      </c>
      <c r="P10" s="14">
        <f t="shared" ref="P10:P14" si="3">IF(E10=".",-1,1)</f>
        <v>1</v>
      </c>
      <c r="Q10" s="14">
        <f t="shared" ref="Q10:Q14" si="4">IF(F10=".",-1,1)</f>
        <v>1</v>
      </c>
      <c r="R10" s="14">
        <f t="shared" ref="R10:R14" si="5">IF(G10=".",-1,1)</f>
        <v>1</v>
      </c>
      <c r="S10" s="14">
        <f t="shared" ref="S10:S14" si="6">IF(H10=".",-1,1)</f>
        <v>-1</v>
      </c>
    </row>
    <row r="11" spans="1:63">
      <c r="A11" s="74"/>
      <c r="C11" s="34" t="s">
        <v>3</v>
      </c>
      <c r="D11" s="34" t="s">
        <v>4</v>
      </c>
      <c r="E11" s="34" t="s">
        <v>4</v>
      </c>
      <c r="F11" s="34" t="s">
        <v>4</v>
      </c>
      <c r="G11" s="34" t="s">
        <v>4</v>
      </c>
      <c r="H11" s="34" t="s">
        <v>3</v>
      </c>
      <c r="J11" s="62"/>
      <c r="K11" s="40"/>
      <c r="L11" s="62"/>
      <c r="N11" s="35">
        <f t="shared" si="1"/>
        <v>-1</v>
      </c>
      <c r="O11" s="14">
        <f t="shared" si="2"/>
        <v>1</v>
      </c>
      <c r="P11" s="14">
        <f t="shared" si="3"/>
        <v>1</v>
      </c>
      <c r="Q11" s="14">
        <f t="shared" si="4"/>
        <v>1</v>
      </c>
      <c r="R11" s="14">
        <f t="shared" si="5"/>
        <v>1</v>
      </c>
      <c r="S11" s="14">
        <f t="shared" si="6"/>
        <v>-1</v>
      </c>
    </row>
    <row r="12" spans="1:63">
      <c r="A12" s="74"/>
      <c r="C12" s="34" t="s">
        <v>3</v>
      </c>
      <c r="D12" s="34" t="s">
        <v>4</v>
      </c>
      <c r="E12" s="34" t="s">
        <v>4</v>
      </c>
      <c r="F12" s="34" t="s">
        <v>4</v>
      </c>
      <c r="G12" s="34" t="s">
        <v>4</v>
      </c>
      <c r="H12" s="34" t="s">
        <v>3</v>
      </c>
      <c r="J12" s="62"/>
      <c r="K12" s="40"/>
      <c r="L12" s="62"/>
      <c r="N12" s="35">
        <f t="shared" si="1"/>
        <v>-1</v>
      </c>
      <c r="O12" s="14">
        <f t="shared" si="2"/>
        <v>1</v>
      </c>
      <c r="P12" s="14">
        <f t="shared" si="3"/>
        <v>1</v>
      </c>
      <c r="Q12" s="14">
        <f t="shared" si="4"/>
        <v>1</v>
      </c>
      <c r="R12" s="14">
        <f t="shared" si="5"/>
        <v>1</v>
      </c>
      <c r="S12" s="14">
        <f t="shared" si="6"/>
        <v>-1</v>
      </c>
    </row>
    <row r="13" spans="1:63">
      <c r="A13" s="74"/>
      <c r="C13" s="34" t="s">
        <v>3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3</v>
      </c>
      <c r="J13" s="62"/>
      <c r="K13" s="40"/>
      <c r="L13" s="62"/>
      <c r="N13" s="35">
        <f t="shared" si="1"/>
        <v>-1</v>
      </c>
      <c r="O13" s="14">
        <f t="shared" si="2"/>
        <v>1</v>
      </c>
      <c r="P13" s="14">
        <f t="shared" si="3"/>
        <v>1</v>
      </c>
      <c r="Q13" s="14">
        <f t="shared" si="4"/>
        <v>1</v>
      </c>
      <c r="R13" s="14">
        <f t="shared" si="5"/>
        <v>1</v>
      </c>
      <c r="S13" s="14">
        <f t="shared" si="6"/>
        <v>-1</v>
      </c>
    </row>
    <row r="14" spans="1:63">
      <c r="A14" s="74"/>
      <c r="C14" s="34" t="s">
        <v>3</v>
      </c>
      <c r="D14" s="34" t="s">
        <v>3</v>
      </c>
      <c r="E14" s="34" t="s">
        <v>3</v>
      </c>
      <c r="F14" s="34" t="s">
        <v>3</v>
      </c>
      <c r="G14" s="34" t="s">
        <v>3</v>
      </c>
      <c r="H14" s="34" t="s">
        <v>3</v>
      </c>
      <c r="J14" s="62"/>
      <c r="K14" s="40"/>
      <c r="L14" s="62"/>
      <c r="N14" s="35">
        <f t="shared" si="1"/>
        <v>-1</v>
      </c>
      <c r="O14" s="14">
        <f t="shared" si="2"/>
        <v>-1</v>
      </c>
      <c r="P14" s="14">
        <f t="shared" si="3"/>
        <v>-1</v>
      </c>
      <c r="Q14" s="14">
        <f t="shared" si="4"/>
        <v>-1</v>
      </c>
      <c r="R14" s="14">
        <f t="shared" si="5"/>
        <v>-1</v>
      </c>
      <c r="S14" s="14">
        <f t="shared" si="6"/>
        <v>-1</v>
      </c>
    </row>
    <row r="15" spans="1:63">
      <c r="C15" s="23"/>
      <c r="D15" s="23"/>
      <c r="E15" s="23"/>
      <c r="F15" s="23"/>
      <c r="G15" s="23"/>
      <c r="H15" s="23"/>
    </row>
    <row r="16" spans="1:63">
      <c r="A16" s="74">
        <v>2</v>
      </c>
      <c r="C16" s="34" t="s">
        <v>3</v>
      </c>
      <c r="D16" s="34" t="s">
        <v>3</v>
      </c>
      <c r="E16" s="34" t="s">
        <v>3</v>
      </c>
      <c r="F16" s="34" t="s">
        <v>3</v>
      </c>
      <c r="G16" s="34" t="s">
        <v>4</v>
      </c>
      <c r="H16" s="34" t="s">
        <v>3</v>
      </c>
      <c r="J16" s="62" t="s">
        <v>6</v>
      </c>
      <c r="L16" s="62" t="s">
        <v>5</v>
      </c>
      <c r="N16" s="35">
        <f>IF(C16=".",-1,1)</f>
        <v>-1</v>
      </c>
      <c r="O16" s="14">
        <f t="shared" ref="O16:S16" si="7">IF(D16=".",-1,1)</f>
        <v>-1</v>
      </c>
      <c r="P16" s="14">
        <f t="shared" si="7"/>
        <v>-1</v>
      </c>
      <c r="Q16" s="14">
        <f t="shared" si="7"/>
        <v>-1</v>
      </c>
      <c r="R16" s="14">
        <f t="shared" si="7"/>
        <v>1</v>
      </c>
      <c r="S16" s="14">
        <f t="shared" si="7"/>
        <v>-1</v>
      </c>
    </row>
    <row r="17" spans="1:63">
      <c r="A17" s="74"/>
      <c r="C17" s="34" t="s">
        <v>3</v>
      </c>
      <c r="D17" s="34" t="s">
        <v>4</v>
      </c>
      <c r="E17" s="34" t="s">
        <v>4</v>
      </c>
      <c r="F17" s="34" t="s">
        <v>4</v>
      </c>
      <c r="G17" s="34" t="s">
        <v>4</v>
      </c>
      <c r="H17" s="34" t="s">
        <v>4</v>
      </c>
      <c r="J17" s="62"/>
      <c r="L17" s="62"/>
      <c r="N17" s="35">
        <f t="shared" ref="N17:N21" si="8">IF(C17=".",-1,1)</f>
        <v>-1</v>
      </c>
      <c r="O17" s="14">
        <f t="shared" ref="O17:O21" si="9">IF(D17=".",-1,1)</f>
        <v>1</v>
      </c>
      <c r="P17" s="14">
        <f t="shared" ref="P17:P21" si="10">IF(E17=".",-1,1)</f>
        <v>1</v>
      </c>
      <c r="Q17" s="14">
        <f t="shared" ref="Q17:Q21" si="11">IF(F17=".",-1,1)</f>
        <v>1</v>
      </c>
      <c r="R17" s="14">
        <f t="shared" ref="R17:R21" si="12">IF(G17=".",-1,1)</f>
        <v>1</v>
      </c>
      <c r="S17" s="14">
        <f t="shared" ref="S17:S21" si="13">IF(H17=".",-1,1)</f>
        <v>1</v>
      </c>
    </row>
    <row r="18" spans="1:63">
      <c r="A18" s="74"/>
      <c r="C18" s="34" t="s">
        <v>3</v>
      </c>
      <c r="D18" s="34" t="s">
        <v>4</v>
      </c>
      <c r="E18" s="34" t="s">
        <v>3</v>
      </c>
      <c r="F18" s="34" t="s">
        <v>3</v>
      </c>
      <c r="G18" s="34" t="s">
        <v>3</v>
      </c>
      <c r="H18" s="34" t="s">
        <v>4</v>
      </c>
      <c r="J18" s="62"/>
      <c r="L18" s="62"/>
      <c r="N18" s="35">
        <f t="shared" si="8"/>
        <v>-1</v>
      </c>
      <c r="O18" s="14">
        <f t="shared" si="9"/>
        <v>1</v>
      </c>
      <c r="P18" s="14">
        <f t="shared" si="10"/>
        <v>-1</v>
      </c>
      <c r="Q18" s="14">
        <f t="shared" si="11"/>
        <v>-1</v>
      </c>
      <c r="R18" s="14">
        <f t="shared" si="12"/>
        <v>-1</v>
      </c>
      <c r="S18" s="14">
        <f t="shared" si="13"/>
        <v>1</v>
      </c>
    </row>
    <row r="19" spans="1:63">
      <c r="A19" s="74"/>
      <c r="C19" s="34" t="s">
        <v>3</v>
      </c>
      <c r="D19" s="34" t="s">
        <v>4</v>
      </c>
      <c r="E19" s="34" t="s">
        <v>4</v>
      </c>
      <c r="F19" s="34" t="s">
        <v>4</v>
      </c>
      <c r="G19" s="34" t="s">
        <v>4</v>
      </c>
      <c r="H19" s="34" t="s">
        <v>4</v>
      </c>
      <c r="J19" s="62"/>
      <c r="L19" s="62"/>
      <c r="N19" s="35">
        <f t="shared" si="8"/>
        <v>-1</v>
      </c>
      <c r="O19" s="14">
        <f t="shared" si="9"/>
        <v>1</v>
      </c>
      <c r="P19" s="14">
        <f t="shared" si="10"/>
        <v>1</v>
      </c>
      <c r="Q19" s="14">
        <f t="shared" si="11"/>
        <v>1</v>
      </c>
      <c r="R19" s="14">
        <f t="shared" si="12"/>
        <v>1</v>
      </c>
      <c r="S19" s="14">
        <f t="shared" si="13"/>
        <v>1</v>
      </c>
    </row>
    <row r="20" spans="1:63">
      <c r="A20" s="74"/>
      <c r="C20" s="34" t="s">
        <v>3</v>
      </c>
      <c r="D20" s="34" t="s">
        <v>3</v>
      </c>
      <c r="E20" s="34" t="s">
        <v>4</v>
      </c>
      <c r="F20" s="34" t="s">
        <v>3</v>
      </c>
      <c r="G20" s="34" t="s">
        <v>3</v>
      </c>
      <c r="H20" s="34" t="s">
        <v>3</v>
      </c>
      <c r="J20" s="62"/>
      <c r="L20" s="62"/>
      <c r="N20" s="35">
        <f t="shared" si="8"/>
        <v>-1</v>
      </c>
      <c r="O20" s="14">
        <f t="shared" si="9"/>
        <v>-1</v>
      </c>
      <c r="P20" s="14">
        <f t="shared" si="10"/>
        <v>1</v>
      </c>
      <c r="Q20" s="14">
        <f t="shared" si="11"/>
        <v>-1</v>
      </c>
      <c r="R20" s="14">
        <f t="shared" si="12"/>
        <v>-1</v>
      </c>
      <c r="S20" s="14">
        <f t="shared" si="13"/>
        <v>-1</v>
      </c>
    </row>
    <row r="21" spans="1:63">
      <c r="A21" s="74"/>
      <c r="C21" s="34" t="s">
        <v>3</v>
      </c>
      <c r="D21" s="34" t="s">
        <v>3</v>
      </c>
      <c r="E21" s="34" t="s">
        <v>3</v>
      </c>
      <c r="F21" s="34" t="s">
        <v>3</v>
      </c>
      <c r="G21" s="34" t="s">
        <v>3</v>
      </c>
      <c r="H21" s="34" t="s">
        <v>3</v>
      </c>
      <c r="J21" s="62"/>
      <c r="L21" s="62"/>
      <c r="N21" s="35">
        <f t="shared" si="8"/>
        <v>-1</v>
      </c>
      <c r="O21" s="14">
        <f t="shared" si="9"/>
        <v>-1</v>
      </c>
      <c r="P21" s="14">
        <f t="shared" si="10"/>
        <v>-1</v>
      </c>
      <c r="Q21" s="14">
        <f t="shared" si="11"/>
        <v>-1</v>
      </c>
      <c r="R21" s="14">
        <f t="shared" si="12"/>
        <v>-1</v>
      </c>
      <c r="S21" s="14">
        <f t="shared" si="13"/>
        <v>-1</v>
      </c>
    </row>
    <row r="22" spans="1:63">
      <c r="A22" s="31"/>
      <c r="C22" s="23"/>
      <c r="D22" s="23"/>
      <c r="E22" s="23"/>
      <c r="F22" s="23"/>
      <c r="G22" s="23"/>
      <c r="H22" s="23"/>
    </row>
    <row r="23" spans="1:63">
      <c r="A23" s="74">
        <v>3</v>
      </c>
      <c r="B23" s="29"/>
      <c r="C23" s="34" t="s">
        <v>4</v>
      </c>
      <c r="D23" s="34" t="s">
        <v>4</v>
      </c>
      <c r="E23" s="34" t="s">
        <v>4</v>
      </c>
      <c r="F23" s="34" t="s">
        <v>4</v>
      </c>
      <c r="G23" s="34" t="s">
        <v>3</v>
      </c>
      <c r="H23" s="34" t="s">
        <v>3</v>
      </c>
      <c r="J23" s="62" t="s">
        <v>5</v>
      </c>
      <c r="L23" s="62" t="s">
        <v>6</v>
      </c>
      <c r="N23" s="35">
        <f>IF(C23=".",-1,1)</f>
        <v>1</v>
      </c>
      <c r="O23" s="14">
        <f t="shared" ref="O23:S23" si="14">IF(D23=".",-1,1)</f>
        <v>1</v>
      </c>
      <c r="P23" s="14">
        <f t="shared" si="14"/>
        <v>1</v>
      </c>
      <c r="Q23" s="14">
        <f t="shared" si="14"/>
        <v>1</v>
      </c>
      <c r="R23" s="14">
        <f t="shared" si="14"/>
        <v>-1</v>
      </c>
      <c r="S23" s="14">
        <f t="shared" si="14"/>
        <v>-1</v>
      </c>
    </row>
    <row r="24" spans="1:63">
      <c r="A24" s="74"/>
      <c r="B24" s="29"/>
      <c r="C24" s="34" t="s">
        <v>4</v>
      </c>
      <c r="D24" s="34" t="s">
        <v>4</v>
      </c>
      <c r="E24" s="34" t="s">
        <v>4</v>
      </c>
      <c r="F24" s="34" t="s">
        <v>4</v>
      </c>
      <c r="G24" s="34" t="s">
        <v>3</v>
      </c>
      <c r="H24" s="34" t="s">
        <v>3</v>
      </c>
      <c r="J24" s="62"/>
      <c r="L24" s="62"/>
      <c r="N24" s="35">
        <f t="shared" ref="N24:N28" si="15">IF(C24=".",-1,1)</f>
        <v>1</v>
      </c>
      <c r="O24" s="14">
        <f t="shared" ref="O24:O28" si="16">IF(D24=".",-1,1)</f>
        <v>1</v>
      </c>
      <c r="P24" s="14">
        <f t="shared" ref="P24:P28" si="17">IF(E24=".",-1,1)</f>
        <v>1</v>
      </c>
      <c r="Q24" s="14">
        <f t="shared" ref="Q24:Q28" si="18">IF(F24=".",-1,1)</f>
        <v>1</v>
      </c>
      <c r="R24" s="14">
        <f t="shared" ref="R24:R28" si="19">IF(G24=".",-1,1)</f>
        <v>-1</v>
      </c>
      <c r="S24" s="14">
        <f t="shared" ref="S24:S28" si="20">IF(H24=".",-1,1)</f>
        <v>-1</v>
      </c>
    </row>
    <row r="25" spans="1:63">
      <c r="A25" s="74"/>
      <c r="B25" s="29"/>
      <c r="C25" s="34" t="s">
        <v>4</v>
      </c>
      <c r="D25" s="34" t="s">
        <v>4</v>
      </c>
      <c r="E25" s="34" t="s">
        <v>4</v>
      </c>
      <c r="F25" s="34" t="s">
        <v>4</v>
      </c>
      <c r="G25" s="34" t="s">
        <v>3</v>
      </c>
      <c r="H25" s="34" t="s">
        <v>3</v>
      </c>
      <c r="J25" s="62"/>
      <c r="L25" s="62"/>
      <c r="N25" s="35">
        <f t="shared" si="15"/>
        <v>1</v>
      </c>
      <c r="O25" s="14">
        <f t="shared" si="16"/>
        <v>1</v>
      </c>
      <c r="P25" s="14">
        <f t="shared" si="17"/>
        <v>1</v>
      </c>
      <c r="Q25" s="14">
        <f t="shared" si="18"/>
        <v>1</v>
      </c>
      <c r="R25" s="14">
        <f t="shared" si="19"/>
        <v>-1</v>
      </c>
      <c r="S25" s="14">
        <f t="shared" si="20"/>
        <v>-1</v>
      </c>
    </row>
    <row r="26" spans="1:63">
      <c r="A26" s="74"/>
      <c r="B26" s="29"/>
      <c r="C26" s="34" t="s">
        <v>4</v>
      </c>
      <c r="D26" s="34" t="s">
        <v>4</v>
      </c>
      <c r="E26" s="34" t="s">
        <v>4</v>
      </c>
      <c r="F26" s="34" t="s">
        <v>4</v>
      </c>
      <c r="G26" s="34" t="s">
        <v>3</v>
      </c>
      <c r="H26" s="34" t="s">
        <v>3</v>
      </c>
      <c r="J26" s="62"/>
      <c r="L26" s="62"/>
      <c r="N26" s="35">
        <f t="shared" si="15"/>
        <v>1</v>
      </c>
      <c r="O26" s="14">
        <f t="shared" si="16"/>
        <v>1</v>
      </c>
      <c r="P26" s="14">
        <f t="shared" si="17"/>
        <v>1</v>
      </c>
      <c r="Q26" s="14">
        <f t="shared" si="18"/>
        <v>1</v>
      </c>
      <c r="R26" s="14">
        <f t="shared" si="19"/>
        <v>-1</v>
      </c>
      <c r="S26" s="14">
        <f t="shared" si="20"/>
        <v>-1</v>
      </c>
      <c r="BK26" s="11"/>
    </row>
    <row r="27" spans="1:63">
      <c r="A27" s="74"/>
      <c r="C27" s="34" t="s">
        <v>3</v>
      </c>
      <c r="D27" s="34" t="s">
        <v>3</v>
      </c>
      <c r="E27" s="34" t="s">
        <v>3</v>
      </c>
      <c r="F27" s="34" t="s">
        <v>3</v>
      </c>
      <c r="G27" s="34" t="s">
        <v>3</v>
      </c>
      <c r="H27" s="34" t="s">
        <v>3</v>
      </c>
      <c r="J27" s="62"/>
      <c r="L27" s="62"/>
      <c r="N27" s="35">
        <f t="shared" si="15"/>
        <v>-1</v>
      </c>
      <c r="O27" s="14">
        <f t="shared" si="16"/>
        <v>-1</v>
      </c>
      <c r="P27" s="14">
        <f t="shared" si="17"/>
        <v>-1</v>
      </c>
      <c r="Q27" s="14">
        <f t="shared" si="18"/>
        <v>-1</v>
      </c>
      <c r="R27" s="14">
        <f t="shared" si="19"/>
        <v>-1</v>
      </c>
      <c r="S27" s="14">
        <f t="shared" si="20"/>
        <v>-1</v>
      </c>
    </row>
    <row r="28" spans="1:63">
      <c r="A28" s="74"/>
      <c r="C28" s="34" t="s">
        <v>3</v>
      </c>
      <c r="D28" s="34" t="s">
        <v>3</v>
      </c>
      <c r="E28" s="34" t="s">
        <v>3</v>
      </c>
      <c r="F28" s="34" t="s">
        <v>3</v>
      </c>
      <c r="G28" s="34" t="s">
        <v>3</v>
      </c>
      <c r="H28" s="34" t="s">
        <v>3</v>
      </c>
      <c r="J28" s="62"/>
      <c r="L28" s="62"/>
      <c r="N28" s="35">
        <f t="shared" si="15"/>
        <v>-1</v>
      </c>
      <c r="O28" s="14">
        <f t="shared" si="16"/>
        <v>-1</v>
      </c>
      <c r="P28" s="14">
        <f t="shared" si="17"/>
        <v>-1</v>
      </c>
      <c r="Q28" s="14">
        <f t="shared" si="18"/>
        <v>-1</v>
      </c>
      <c r="R28" s="14">
        <f t="shared" si="19"/>
        <v>-1</v>
      </c>
      <c r="S28" s="14">
        <f t="shared" si="20"/>
        <v>-1</v>
      </c>
    </row>
    <row r="29" spans="1:63">
      <c r="C29" s="23"/>
      <c r="D29" s="23"/>
      <c r="E29" s="23"/>
      <c r="F29" s="23"/>
      <c r="G29" s="23"/>
      <c r="H29" s="23"/>
    </row>
    <row r="30" spans="1:63">
      <c r="A30" s="74">
        <v>4</v>
      </c>
      <c r="C30" s="34" t="s">
        <v>3</v>
      </c>
      <c r="D30" s="34" t="s">
        <v>3</v>
      </c>
      <c r="E30" s="34" t="s">
        <v>3</v>
      </c>
      <c r="F30" s="34" t="s">
        <v>3</v>
      </c>
      <c r="G30" s="34" t="s">
        <v>3</v>
      </c>
      <c r="H30" s="34" t="s">
        <v>3</v>
      </c>
      <c r="J30" s="62" t="s">
        <v>6</v>
      </c>
      <c r="L30" s="62" t="s">
        <v>5</v>
      </c>
      <c r="N30" s="35">
        <f>IF(C30=".",-1,1)</f>
        <v>-1</v>
      </c>
      <c r="O30" s="14">
        <f t="shared" ref="O30:S30" si="21">IF(D30=".",-1,1)</f>
        <v>-1</v>
      </c>
      <c r="P30" s="14">
        <f t="shared" si="21"/>
        <v>-1</v>
      </c>
      <c r="Q30" s="14">
        <f t="shared" si="21"/>
        <v>-1</v>
      </c>
      <c r="R30" s="14">
        <f t="shared" si="21"/>
        <v>-1</v>
      </c>
      <c r="S30" s="14">
        <f t="shared" si="21"/>
        <v>-1</v>
      </c>
    </row>
    <row r="31" spans="1:63">
      <c r="A31" s="74"/>
      <c r="C31" s="34" t="s">
        <v>4</v>
      </c>
      <c r="D31" s="34" t="s">
        <v>4</v>
      </c>
      <c r="E31" s="34" t="s">
        <v>4</v>
      </c>
      <c r="F31" s="34" t="s">
        <v>4</v>
      </c>
      <c r="G31" s="34" t="s">
        <v>4</v>
      </c>
      <c r="H31" s="34" t="s">
        <v>3</v>
      </c>
      <c r="J31" s="62"/>
      <c r="L31" s="62"/>
      <c r="N31" s="35">
        <f t="shared" ref="N31:N35" si="22">IF(C31=".",-1,1)</f>
        <v>1</v>
      </c>
      <c r="O31" s="14">
        <f t="shared" ref="O31:O35" si="23">IF(D31=".",-1,1)</f>
        <v>1</v>
      </c>
      <c r="P31" s="14">
        <f t="shared" ref="P31:P35" si="24">IF(E31=".",-1,1)</f>
        <v>1</v>
      </c>
      <c r="Q31" s="14">
        <f t="shared" ref="Q31:Q35" si="25">IF(F31=".",-1,1)</f>
        <v>1</v>
      </c>
      <c r="R31" s="14">
        <f t="shared" ref="R31:R35" si="26">IF(G31=".",-1,1)</f>
        <v>1</v>
      </c>
      <c r="S31" s="14">
        <f t="shared" ref="S31:S35" si="27">IF(H31=".",-1,1)</f>
        <v>-1</v>
      </c>
    </row>
    <row r="32" spans="1:63">
      <c r="A32" s="74"/>
      <c r="C32" s="34" t="s">
        <v>4</v>
      </c>
      <c r="D32" s="34" t="s">
        <v>3</v>
      </c>
      <c r="E32" s="34" t="s">
        <v>4</v>
      </c>
      <c r="F32" s="34" t="s">
        <v>3</v>
      </c>
      <c r="G32" s="34" t="s">
        <v>4</v>
      </c>
      <c r="H32" s="34" t="s">
        <v>3</v>
      </c>
      <c r="J32" s="62"/>
      <c r="L32" s="62"/>
      <c r="N32" s="35">
        <f t="shared" si="22"/>
        <v>1</v>
      </c>
      <c r="O32" s="14">
        <f t="shared" si="23"/>
        <v>-1</v>
      </c>
      <c r="P32" s="14">
        <f t="shared" si="24"/>
        <v>1</v>
      </c>
      <c r="Q32" s="14">
        <f t="shared" si="25"/>
        <v>-1</v>
      </c>
      <c r="R32" s="14">
        <f t="shared" si="26"/>
        <v>1</v>
      </c>
      <c r="S32" s="14">
        <f t="shared" si="27"/>
        <v>-1</v>
      </c>
    </row>
    <row r="33" spans="1:19">
      <c r="A33" s="74"/>
      <c r="C33" s="34" t="s">
        <v>4</v>
      </c>
      <c r="D33" s="34" t="s">
        <v>3</v>
      </c>
      <c r="E33" s="34" t="s">
        <v>4</v>
      </c>
      <c r="F33" s="34" t="s">
        <v>3</v>
      </c>
      <c r="G33" s="34" t="s">
        <v>4</v>
      </c>
      <c r="H33" s="34" t="s">
        <v>3</v>
      </c>
      <c r="J33" s="62"/>
      <c r="L33" s="62"/>
      <c r="N33" s="35">
        <f t="shared" si="22"/>
        <v>1</v>
      </c>
      <c r="O33" s="14">
        <f t="shared" si="23"/>
        <v>-1</v>
      </c>
      <c r="P33" s="14">
        <f t="shared" si="24"/>
        <v>1</v>
      </c>
      <c r="Q33" s="14">
        <f t="shared" si="25"/>
        <v>-1</v>
      </c>
      <c r="R33" s="14">
        <f t="shared" si="26"/>
        <v>1</v>
      </c>
      <c r="S33" s="14">
        <f t="shared" si="27"/>
        <v>-1</v>
      </c>
    </row>
    <row r="34" spans="1:19">
      <c r="A34" s="74"/>
      <c r="C34" s="34" t="s">
        <v>4</v>
      </c>
      <c r="D34" s="34" t="s">
        <v>4</v>
      </c>
      <c r="E34" s="34" t="s">
        <v>4</v>
      </c>
      <c r="F34" s="34" t="s">
        <v>4</v>
      </c>
      <c r="G34" s="34" t="s">
        <v>4</v>
      </c>
      <c r="H34" s="34" t="s">
        <v>3</v>
      </c>
      <c r="J34" s="62"/>
      <c r="L34" s="62"/>
      <c r="N34" s="35">
        <f t="shared" si="22"/>
        <v>1</v>
      </c>
      <c r="O34" s="14">
        <f t="shared" si="23"/>
        <v>1</v>
      </c>
      <c r="P34" s="14">
        <f t="shared" si="24"/>
        <v>1</v>
      </c>
      <c r="Q34" s="14">
        <f t="shared" si="25"/>
        <v>1</v>
      </c>
      <c r="R34" s="14">
        <f t="shared" si="26"/>
        <v>1</v>
      </c>
      <c r="S34" s="14">
        <f t="shared" si="27"/>
        <v>-1</v>
      </c>
    </row>
    <row r="35" spans="1:19">
      <c r="A35" s="74"/>
      <c r="C35" s="34" t="s">
        <v>3</v>
      </c>
      <c r="D35" s="34" t="s">
        <v>3</v>
      </c>
      <c r="E35" s="34" t="s">
        <v>3</v>
      </c>
      <c r="F35" s="34" t="s">
        <v>3</v>
      </c>
      <c r="G35" s="34" t="s">
        <v>3</v>
      </c>
      <c r="H35" s="34" t="s">
        <v>3</v>
      </c>
      <c r="J35" s="62"/>
      <c r="L35" s="62"/>
      <c r="N35" s="35">
        <f t="shared" si="22"/>
        <v>-1</v>
      </c>
      <c r="O35" s="14">
        <f t="shared" si="23"/>
        <v>-1</v>
      </c>
      <c r="P35" s="14">
        <f t="shared" si="24"/>
        <v>-1</v>
      </c>
      <c r="Q35" s="14">
        <f t="shared" si="25"/>
        <v>-1</v>
      </c>
      <c r="R35" s="14">
        <f t="shared" si="26"/>
        <v>-1</v>
      </c>
      <c r="S35" s="14">
        <f t="shared" si="27"/>
        <v>-1</v>
      </c>
    </row>
    <row r="36" spans="1:19">
      <c r="C36" s="23"/>
      <c r="D36" s="23"/>
      <c r="E36" s="23"/>
      <c r="F36" s="23"/>
      <c r="G36" s="23"/>
      <c r="H36" s="23"/>
    </row>
    <row r="37" spans="1:19">
      <c r="A37" s="74">
        <v>5</v>
      </c>
      <c r="C37" s="34" t="s">
        <v>3</v>
      </c>
      <c r="D37" s="34" t="s">
        <v>3</v>
      </c>
      <c r="E37" s="34" t="s">
        <v>3</v>
      </c>
      <c r="F37" s="34" t="s">
        <v>3</v>
      </c>
      <c r="G37" s="34" t="s">
        <v>3</v>
      </c>
      <c r="H37" s="34" t="s">
        <v>3</v>
      </c>
      <c r="J37" s="62" t="s">
        <v>5</v>
      </c>
      <c r="L37" s="62" t="s">
        <v>6</v>
      </c>
      <c r="N37" s="35">
        <f>IF(C37=".",-1,1)</f>
        <v>-1</v>
      </c>
      <c r="O37" s="14">
        <f t="shared" ref="O37:S37" si="28">IF(D37=".",-1,1)</f>
        <v>-1</v>
      </c>
      <c r="P37" s="14">
        <f t="shared" si="28"/>
        <v>-1</v>
      </c>
      <c r="Q37" s="14">
        <f t="shared" si="28"/>
        <v>-1</v>
      </c>
      <c r="R37" s="14">
        <f t="shared" si="28"/>
        <v>-1</v>
      </c>
      <c r="S37" s="14">
        <f t="shared" si="28"/>
        <v>-1</v>
      </c>
    </row>
    <row r="38" spans="1:19">
      <c r="A38" s="74"/>
      <c r="C38" s="34" t="s">
        <v>3</v>
      </c>
      <c r="D38" s="34" t="s">
        <v>3</v>
      </c>
      <c r="E38" s="34" t="s">
        <v>3</v>
      </c>
      <c r="F38" s="34" t="s">
        <v>3</v>
      </c>
      <c r="G38" s="34" t="s">
        <v>3</v>
      </c>
      <c r="H38" s="34" t="s">
        <v>3</v>
      </c>
      <c r="J38" s="62"/>
      <c r="L38" s="62"/>
      <c r="N38" s="35">
        <f t="shared" ref="N38:N42" si="29">IF(C38=".",-1,1)</f>
        <v>-1</v>
      </c>
      <c r="O38" s="14">
        <f t="shared" ref="O38:O42" si="30">IF(D38=".",-1,1)</f>
        <v>-1</v>
      </c>
      <c r="P38" s="14">
        <f t="shared" ref="P38:P42" si="31">IF(E38=".",-1,1)</f>
        <v>-1</v>
      </c>
      <c r="Q38" s="14">
        <f t="shared" ref="Q38:Q42" si="32">IF(F38=".",-1,1)</f>
        <v>-1</v>
      </c>
      <c r="R38" s="14">
        <f t="shared" ref="R38:R42" si="33">IF(G38=".",-1,1)</f>
        <v>-1</v>
      </c>
      <c r="S38" s="14">
        <f t="shared" ref="S38:S42" si="34">IF(H38=".",-1,1)</f>
        <v>-1</v>
      </c>
    </row>
    <row r="39" spans="1:19">
      <c r="A39" s="74"/>
      <c r="B39" s="29"/>
      <c r="C39" s="34" t="s">
        <v>4</v>
      </c>
      <c r="D39" s="34" t="s">
        <v>4</v>
      </c>
      <c r="E39" s="34" t="s">
        <v>4</v>
      </c>
      <c r="F39" s="34" t="s">
        <v>4</v>
      </c>
      <c r="G39" s="34" t="s">
        <v>3</v>
      </c>
      <c r="H39" s="34" t="s">
        <v>3</v>
      </c>
      <c r="J39" s="62"/>
      <c r="L39" s="62"/>
      <c r="N39" s="35">
        <f t="shared" si="29"/>
        <v>1</v>
      </c>
      <c r="O39" s="14">
        <f t="shared" si="30"/>
        <v>1</v>
      </c>
      <c r="P39" s="14">
        <f t="shared" si="31"/>
        <v>1</v>
      </c>
      <c r="Q39" s="14">
        <f t="shared" si="32"/>
        <v>1</v>
      </c>
      <c r="R39" s="14">
        <f t="shared" si="33"/>
        <v>-1</v>
      </c>
      <c r="S39" s="14">
        <f t="shared" si="34"/>
        <v>-1</v>
      </c>
    </row>
    <row r="40" spans="1:19">
      <c r="A40" s="74"/>
      <c r="B40" s="29"/>
      <c r="C40" s="34" t="s">
        <v>4</v>
      </c>
      <c r="D40" s="34" t="s">
        <v>4</v>
      </c>
      <c r="E40" s="34" t="s">
        <v>4</v>
      </c>
      <c r="F40" s="34" t="s">
        <v>4</v>
      </c>
      <c r="G40" s="34" t="s">
        <v>3</v>
      </c>
      <c r="H40" s="34" t="s">
        <v>3</v>
      </c>
      <c r="J40" s="62"/>
      <c r="L40" s="62"/>
      <c r="N40" s="35">
        <f t="shared" si="29"/>
        <v>1</v>
      </c>
      <c r="O40" s="14">
        <f t="shared" si="30"/>
        <v>1</v>
      </c>
      <c r="P40" s="14">
        <f t="shared" si="31"/>
        <v>1</v>
      </c>
      <c r="Q40" s="14">
        <f t="shared" si="32"/>
        <v>1</v>
      </c>
      <c r="R40" s="14">
        <f t="shared" si="33"/>
        <v>-1</v>
      </c>
      <c r="S40" s="14">
        <f t="shared" si="34"/>
        <v>-1</v>
      </c>
    </row>
    <row r="41" spans="1:19">
      <c r="A41" s="74"/>
      <c r="B41" s="29"/>
      <c r="C41" s="34" t="s">
        <v>4</v>
      </c>
      <c r="D41" s="34" t="s">
        <v>4</v>
      </c>
      <c r="E41" s="34" t="s">
        <v>4</v>
      </c>
      <c r="F41" s="34" t="s">
        <v>4</v>
      </c>
      <c r="G41" s="34" t="s">
        <v>3</v>
      </c>
      <c r="H41" s="34" t="s">
        <v>3</v>
      </c>
      <c r="J41" s="62"/>
      <c r="L41" s="62"/>
      <c r="N41" s="35">
        <f t="shared" si="29"/>
        <v>1</v>
      </c>
      <c r="O41" s="14">
        <f t="shared" si="30"/>
        <v>1</v>
      </c>
      <c r="P41" s="14">
        <f t="shared" si="31"/>
        <v>1</v>
      </c>
      <c r="Q41" s="14">
        <f t="shared" si="32"/>
        <v>1</v>
      </c>
      <c r="R41" s="14">
        <f t="shared" si="33"/>
        <v>-1</v>
      </c>
      <c r="S41" s="14">
        <f t="shared" si="34"/>
        <v>-1</v>
      </c>
    </row>
    <row r="42" spans="1:19">
      <c r="A42" s="74"/>
      <c r="B42" s="29"/>
      <c r="C42" s="34" t="s">
        <v>4</v>
      </c>
      <c r="D42" s="34" t="s">
        <v>4</v>
      </c>
      <c r="E42" s="34" t="s">
        <v>4</v>
      </c>
      <c r="F42" s="34" t="s">
        <v>4</v>
      </c>
      <c r="G42" s="34" t="s">
        <v>3</v>
      </c>
      <c r="H42" s="34" t="s">
        <v>3</v>
      </c>
      <c r="J42" s="62"/>
      <c r="L42" s="62"/>
      <c r="N42" s="35">
        <f t="shared" si="29"/>
        <v>1</v>
      </c>
      <c r="O42" s="14">
        <f t="shared" si="30"/>
        <v>1</v>
      </c>
      <c r="P42" s="14">
        <f t="shared" si="31"/>
        <v>1</v>
      </c>
      <c r="Q42" s="14">
        <f t="shared" si="32"/>
        <v>1</v>
      </c>
      <c r="R42" s="14">
        <f t="shared" si="33"/>
        <v>-1</v>
      </c>
      <c r="S42" s="14">
        <f t="shared" si="34"/>
        <v>-1</v>
      </c>
    </row>
    <row r="43" spans="1:19">
      <c r="B43" s="29"/>
      <c r="C43" s="23"/>
      <c r="D43" s="23"/>
      <c r="E43" s="23"/>
      <c r="F43" s="23"/>
      <c r="G43" s="23"/>
      <c r="H43" s="23"/>
    </row>
    <row r="44" spans="1:19">
      <c r="A44" s="74">
        <v>6</v>
      </c>
      <c r="C44" s="34" t="s">
        <v>3</v>
      </c>
      <c r="D44" s="34" t="s">
        <v>4</v>
      </c>
      <c r="E44" s="34" t="s">
        <v>3</v>
      </c>
      <c r="F44" s="34" t="s">
        <v>3</v>
      </c>
      <c r="G44" s="34" t="s">
        <v>3</v>
      </c>
      <c r="H44" s="34" t="s">
        <v>3</v>
      </c>
      <c r="J44" s="62" t="s">
        <v>6</v>
      </c>
      <c r="L44" s="62" t="s">
        <v>5</v>
      </c>
      <c r="N44" s="35">
        <f>IF(C44=".",-1,1)</f>
        <v>-1</v>
      </c>
      <c r="O44" s="14">
        <f t="shared" ref="O44:R44" si="35">IF(D44=".",-1,1)</f>
        <v>1</v>
      </c>
      <c r="P44" s="14">
        <f t="shared" si="35"/>
        <v>-1</v>
      </c>
      <c r="Q44" s="14">
        <f t="shared" si="35"/>
        <v>-1</v>
      </c>
      <c r="R44" s="14">
        <f t="shared" si="35"/>
        <v>-1</v>
      </c>
      <c r="S44" s="14">
        <f>IF(H44=".",-1,1)</f>
        <v>-1</v>
      </c>
    </row>
    <row r="45" spans="1:19">
      <c r="A45" s="74"/>
      <c r="C45" s="34" t="s">
        <v>4</v>
      </c>
      <c r="D45" s="34" t="s">
        <v>3</v>
      </c>
      <c r="E45" s="34" t="s">
        <v>4</v>
      </c>
      <c r="F45" s="34" t="s">
        <v>4</v>
      </c>
      <c r="G45" s="34" t="s">
        <v>4</v>
      </c>
      <c r="H45" s="34" t="s">
        <v>3</v>
      </c>
      <c r="J45" s="62"/>
      <c r="L45" s="62"/>
      <c r="N45" s="35">
        <f t="shared" ref="N45:N49" si="36">IF(C45=".",-1,1)</f>
        <v>1</v>
      </c>
      <c r="O45" s="14">
        <f t="shared" ref="O45:O49" si="37">IF(D45=".",-1,1)</f>
        <v>-1</v>
      </c>
      <c r="P45" s="14">
        <f t="shared" ref="P45:P49" si="38">IF(E45=".",-1,1)</f>
        <v>1</v>
      </c>
      <c r="Q45" s="14">
        <f t="shared" ref="Q45:Q49" si="39">IF(F45=".",-1,1)</f>
        <v>1</v>
      </c>
      <c r="R45" s="14">
        <f t="shared" ref="R45:R49" si="40">IF(G45=".",-1,1)</f>
        <v>1</v>
      </c>
      <c r="S45" s="14">
        <f t="shared" ref="S45:S49" si="41">IF(H45=".",-1,1)</f>
        <v>-1</v>
      </c>
    </row>
    <row r="46" spans="1:19">
      <c r="A46" s="74"/>
      <c r="C46" s="34" t="s">
        <v>4</v>
      </c>
      <c r="D46" s="34" t="s">
        <v>4</v>
      </c>
      <c r="E46" s="34" t="s">
        <v>4</v>
      </c>
      <c r="F46" s="34" t="s">
        <v>3</v>
      </c>
      <c r="G46" s="34" t="s">
        <v>4</v>
      </c>
      <c r="H46" s="34" t="s">
        <v>3</v>
      </c>
      <c r="J46" s="62"/>
      <c r="L46" s="62"/>
      <c r="N46" s="35">
        <f t="shared" si="36"/>
        <v>1</v>
      </c>
      <c r="O46" s="14">
        <f t="shared" si="37"/>
        <v>1</v>
      </c>
      <c r="P46" s="14">
        <f t="shared" si="38"/>
        <v>1</v>
      </c>
      <c r="Q46" s="14">
        <f t="shared" si="39"/>
        <v>-1</v>
      </c>
      <c r="R46" s="14">
        <f t="shared" si="40"/>
        <v>1</v>
      </c>
      <c r="S46" s="14">
        <f t="shared" si="41"/>
        <v>-1</v>
      </c>
    </row>
    <row r="47" spans="1:19">
      <c r="A47" s="74"/>
      <c r="C47" s="34" t="s">
        <v>4</v>
      </c>
      <c r="D47" s="34" t="s">
        <v>3</v>
      </c>
      <c r="E47" s="34" t="s">
        <v>4</v>
      </c>
      <c r="F47" s="34" t="s">
        <v>4</v>
      </c>
      <c r="G47" s="34" t="s">
        <v>4</v>
      </c>
      <c r="H47" s="34" t="s">
        <v>3</v>
      </c>
      <c r="J47" s="62"/>
      <c r="L47" s="62"/>
      <c r="N47" s="35">
        <f t="shared" si="36"/>
        <v>1</v>
      </c>
      <c r="O47" s="14">
        <f t="shared" si="37"/>
        <v>-1</v>
      </c>
      <c r="P47" s="14">
        <f t="shared" si="38"/>
        <v>1</v>
      </c>
      <c r="Q47" s="14">
        <f t="shared" si="39"/>
        <v>1</v>
      </c>
      <c r="R47" s="14">
        <f t="shared" si="40"/>
        <v>1</v>
      </c>
      <c r="S47" s="14">
        <f t="shared" si="41"/>
        <v>-1</v>
      </c>
    </row>
    <row r="48" spans="1:19">
      <c r="A48" s="74"/>
      <c r="C48" s="34" t="s">
        <v>4</v>
      </c>
      <c r="D48" s="34" t="s">
        <v>4</v>
      </c>
      <c r="E48" s="34" t="s">
        <v>4</v>
      </c>
      <c r="F48" s="34" t="s">
        <v>3</v>
      </c>
      <c r="G48" s="34" t="s">
        <v>4</v>
      </c>
      <c r="H48" s="34" t="s">
        <v>3</v>
      </c>
      <c r="J48" s="62"/>
      <c r="L48" s="62"/>
      <c r="N48" s="35">
        <f t="shared" si="36"/>
        <v>1</v>
      </c>
      <c r="O48" s="14">
        <f t="shared" si="37"/>
        <v>1</v>
      </c>
      <c r="P48" s="14">
        <f t="shared" si="38"/>
        <v>1</v>
      </c>
      <c r="Q48" s="14">
        <f t="shared" si="39"/>
        <v>-1</v>
      </c>
      <c r="R48" s="14">
        <f t="shared" si="40"/>
        <v>1</v>
      </c>
      <c r="S48" s="14">
        <f t="shared" si="41"/>
        <v>-1</v>
      </c>
    </row>
    <row r="49" spans="1:19">
      <c r="A49" s="74"/>
      <c r="C49" s="34" t="s">
        <v>3</v>
      </c>
      <c r="D49" s="34" t="s">
        <v>3</v>
      </c>
      <c r="E49" s="34" t="s">
        <v>3</v>
      </c>
      <c r="F49" s="34" t="s">
        <v>4</v>
      </c>
      <c r="G49" s="34" t="s">
        <v>3</v>
      </c>
      <c r="H49" s="34" t="s">
        <v>3</v>
      </c>
      <c r="J49" s="62"/>
      <c r="L49" s="62"/>
      <c r="N49" s="35">
        <f t="shared" si="36"/>
        <v>-1</v>
      </c>
      <c r="O49" s="14">
        <f t="shared" si="37"/>
        <v>-1</v>
      </c>
      <c r="P49" s="14">
        <f t="shared" si="38"/>
        <v>-1</v>
      </c>
      <c r="Q49" s="14">
        <f t="shared" si="39"/>
        <v>1</v>
      </c>
      <c r="R49" s="14">
        <f t="shared" si="40"/>
        <v>-1</v>
      </c>
      <c r="S49" s="14">
        <f t="shared" si="41"/>
        <v>-1</v>
      </c>
    </row>
    <row r="50" spans="1:19">
      <c r="C50" s="23"/>
      <c r="D50" s="23"/>
      <c r="E50" s="23"/>
      <c r="F50" s="23"/>
      <c r="G50" s="23"/>
      <c r="H50" s="23"/>
    </row>
    <row r="51" spans="1:19">
      <c r="A51" s="74">
        <v>7</v>
      </c>
      <c r="C51" s="34" t="s">
        <v>3</v>
      </c>
      <c r="D51" s="34" t="s">
        <v>3</v>
      </c>
      <c r="E51" s="34" t="s">
        <v>3</v>
      </c>
      <c r="F51" s="34" t="s">
        <v>3</v>
      </c>
      <c r="G51" s="34" t="s">
        <v>3</v>
      </c>
      <c r="H51" s="34" t="s">
        <v>3</v>
      </c>
      <c r="J51" s="62" t="s">
        <v>5</v>
      </c>
      <c r="L51" s="62" t="s">
        <v>6</v>
      </c>
      <c r="N51" s="35">
        <f>IF(C51=".",-1,1)</f>
        <v>-1</v>
      </c>
      <c r="O51" s="14">
        <f t="shared" ref="O51:S51" si="42">IF(D51=".",-1,1)</f>
        <v>-1</v>
      </c>
      <c r="P51" s="14">
        <f t="shared" si="42"/>
        <v>-1</v>
      </c>
      <c r="Q51" s="14">
        <f t="shared" si="42"/>
        <v>-1</v>
      </c>
      <c r="R51" s="14">
        <f t="shared" si="42"/>
        <v>-1</v>
      </c>
      <c r="S51" s="14">
        <f t="shared" si="42"/>
        <v>-1</v>
      </c>
    </row>
    <row r="52" spans="1:19">
      <c r="A52" s="74"/>
      <c r="C52" s="34" t="s">
        <v>3</v>
      </c>
      <c r="D52" s="34" t="s">
        <v>3</v>
      </c>
      <c r="E52" s="34" t="s">
        <v>3</v>
      </c>
      <c r="F52" s="34" t="s">
        <v>3</v>
      </c>
      <c r="G52" s="34" t="s">
        <v>3</v>
      </c>
      <c r="H52" s="34" t="s">
        <v>3</v>
      </c>
      <c r="J52" s="62"/>
      <c r="L52" s="62"/>
      <c r="N52" s="35">
        <f t="shared" ref="N52:N56" si="43">IF(C52=".",-1,1)</f>
        <v>-1</v>
      </c>
      <c r="O52" s="14">
        <f t="shared" ref="O52:O56" si="44">IF(D52=".",-1,1)</f>
        <v>-1</v>
      </c>
      <c r="P52" s="14">
        <f t="shared" ref="P52:P56" si="45">IF(E52=".",-1,1)</f>
        <v>-1</v>
      </c>
      <c r="Q52" s="14">
        <f t="shared" ref="Q52:Q56" si="46">IF(F52=".",-1,1)</f>
        <v>-1</v>
      </c>
      <c r="R52" s="14">
        <f t="shared" ref="R52:R56" si="47">IF(G52=".",-1,1)</f>
        <v>-1</v>
      </c>
      <c r="S52" s="14">
        <f t="shared" ref="S52:S56" si="48">IF(H52=".",-1,1)</f>
        <v>-1</v>
      </c>
    </row>
    <row r="53" spans="1:19">
      <c r="A53" s="74"/>
      <c r="C53" s="34" t="s">
        <v>3</v>
      </c>
      <c r="D53" s="34" t="s">
        <v>3</v>
      </c>
      <c r="E53" s="34" t="s">
        <v>4</v>
      </c>
      <c r="F53" s="34" t="s">
        <v>4</v>
      </c>
      <c r="G53" s="34" t="s">
        <v>4</v>
      </c>
      <c r="H53" s="34" t="s">
        <v>4</v>
      </c>
      <c r="J53" s="62"/>
      <c r="L53" s="62"/>
      <c r="N53" s="35">
        <f t="shared" si="43"/>
        <v>-1</v>
      </c>
      <c r="O53" s="14">
        <f t="shared" si="44"/>
        <v>-1</v>
      </c>
      <c r="P53" s="14">
        <f t="shared" si="45"/>
        <v>1</v>
      </c>
      <c r="Q53" s="14">
        <f t="shared" si="46"/>
        <v>1</v>
      </c>
      <c r="R53" s="14">
        <f t="shared" si="47"/>
        <v>1</v>
      </c>
      <c r="S53" s="14">
        <f t="shared" si="48"/>
        <v>1</v>
      </c>
    </row>
    <row r="54" spans="1:19">
      <c r="A54" s="74"/>
      <c r="C54" s="34" t="s">
        <v>3</v>
      </c>
      <c r="D54" s="34" t="s">
        <v>3</v>
      </c>
      <c r="E54" s="34" t="s">
        <v>4</v>
      </c>
      <c r="F54" s="34" t="s">
        <v>4</v>
      </c>
      <c r="G54" s="34" t="s">
        <v>4</v>
      </c>
      <c r="H54" s="34" t="s">
        <v>4</v>
      </c>
      <c r="J54" s="62"/>
      <c r="L54" s="62"/>
      <c r="N54" s="35">
        <f t="shared" si="43"/>
        <v>-1</v>
      </c>
      <c r="O54" s="14">
        <f t="shared" si="44"/>
        <v>-1</v>
      </c>
      <c r="P54" s="14">
        <f t="shared" si="45"/>
        <v>1</v>
      </c>
      <c r="Q54" s="14">
        <f t="shared" si="46"/>
        <v>1</v>
      </c>
      <c r="R54" s="14">
        <f t="shared" si="47"/>
        <v>1</v>
      </c>
      <c r="S54" s="14">
        <f t="shared" si="48"/>
        <v>1</v>
      </c>
    </row>
    <row r="55" spans="1:19">
      <c r="A55" s="74"/>
      <c r="C55" s="34" t="s">
        <v>3</v>
      </c>
      <c r="D55" s="34" t="s">
        <v>3</v>
      </c>
      <c r="E55" s="34" t="s">
        <v>4</v>
      </c>
      <c r="F55" s="34" t="s">
        <v>4</v>
      </c>
      <c r="G55" s="34" t="s">
        <v>4</v>
      </c>
      <c r="H55" s="34" t="s">
        <v>4</v>
      </c>
      <c r="J55" s="62"/>
      <c r="L55" s="62"/>
      <c r="N55" s="35">
        <f t="shared" si="43"/>
        <v>-1</v>
      </c>
      <c r="O55" s="14">
        <f t="shared" si="44"/>
        <v>-1</v>
      </c>
      <c r="P55" s="14">
        <f t="shared" si="45"/>
        <v>1</v>
      </c>
      <c r="Q55" s="14">
        <f t="shared" si="46"/>
        <v>1</v>
      </c>
      <c r="R55" s="14">
        <f t="shared" si="47"/>
        <v>1</v>
      </c>
      <c r="S55" s="14">
        <f t="shared" si="48"/>
        <v>1</v>
      </c>
    </row>
    <row r="56" spans="1:19">
      <c r="A56" s="74"/>
      <c r="C56" s="34" t="s">
        <v>3</v>
      </c>
      <c r="D56" s="34" t="s">
        <v>3</v>
      </c>
      <c r="E56" s="34" t="s">
        <v>4</v>
      </c>
      <c r="F56" s="34" t="s">
        <v>4</v>
      </c>
      <c r="G56" s="34" t="s">
        <v>4</v>
      </c>
      <c r="H56" s="34" t="s">
        <v>4</v>
      </c>
      <c r="J56" s="62"/>
      <c r="L56" s="62"/>
      <c r="N56" s="35">
        <f t="shared" si="43"/>
        <v>-1</v>
      </c>
      <c r="O56" s="14">
        <f t="shared" si="44"/>
        <v>-1</v>
      </c>
      <c r="P56" s="14">
        <f t="shared" si="45"/>
        <v>1</v>
      </c>
      <c r="Q56" s="14">
        <f t="shared" si="46"/>
        <v>1</v>
      </c>
      <c r="R56" s="14">
        <f t="shared" si="47"/>
        <v>1</v>
      </c>
      <c r="S56" s="14">
        <f t="shared" si="48"/>
        <v>1</v>
      </c>
    </row>
    <row r="57" spans="1:19">
      <c r="C57" s="23"/>
      <c r="D57" s="23"/>
      <c r="E57" s="23"/>
      <c r="F57" s="23"/>
      <c r="G57" s="23"/>
      <c r="H57" s="23"/>
    </row>
    <row r="58" spans="1:19">
      <c r="A58" s="74">
        <v>8</v>
      </c>
      <c r="C58" s="34" t="s">
        <v>3</v>
      </c>
      <c r="D58" s="34" t="s">
        <v>3</v>
      </c>
      <c r="E58" s="34" t="s">
        <v>3</v>
      </c>
      <c r="F58" s="34" t="s">
        <v>3</v>
      </c>
      <c r="G58" s="34" t="s">
        <v>3</v>
      </c>
      <c r="H58" s="34" t="s">
        <v>3</v>
      </c>
      <c r="J58" s="62" t="s">
        <v>6</v>
      </c>
      <c r="L58" s="62" t="s">
        <v>5</v>
      </c>
      <c r="N58" s="35">
        <f>IF(C58=".",-1,1)</f>
        <v>-1</v>
      </c>
      <c r="O58" s="14">
        <f t="shared" ref="O58:S58" si="49">IF(D58=".",-1,1)</f>
        <v>-1</v>
      </c>
      <c r="P58" s="14">
        <f t="shared" si="49"/>
        <v>-1</v>
      </c>
      <c r="Q58" s="14">
        <f t="shared" si="49"/>
        <v>-1</v>
      </c>
      <c r="R58" s="14">
        <f t="shared" si="49"/>
        <v>-1</v>
      </c>
      <c r="S58" s="14">
        <f t="shared" si="49"/>
        <v>-1</v>
      </c>
    </row>
    <row r="59" spans="1:19">
      <c r="A59" s="74"/>
      <c r="C59" s="34" t="s">
        <v>3</v>
      </c>
      <c r="D59" s="34" t="s">
        <v>4</v>
      </c>
      <c r="E59" s="34" t="s">
        <v>4</v>
      </c>
      <c r="F59" s="34" t="s">
        <v>4</v>
      </c>
      <c r="G59" s="34" t="s">
        <v>4</v>
      </c>
      <c r="H59" s="34" t="s">
        <v>4</v>
      </c>
      <c r="J59" s="62"/>
      <c r="L59" s="62"/>
      <c r="N59" s="35">
        <f t="shared" ref="N59:N63" si="50">IF(C59=".",-1,1)</f>
        <v>-1</v>
      </c>
      <c r="O59" s="14">
        <f t="shared" ref="O59:O63" si="51">IF(D59=".",-1,1)</f>
        <v>1</v>
      </c>
      <c r="P59" s="14">
        <f t="shared" ref="P59:P63" si="52">IF(E59=".",-1,1)</f>
        <v>1</v>
      </c>
      <c r="Q59" s="14">
        <f t="shared" ref="Q59:Q63" si="53">IF(F59=".",-1,1)</f>
        <v>1</v>
      </c>
      <c r="R59" s="14">
        <f t="shared" ref="R59:R63" si="54">IF(G59=".",-1,1)</f>
        <v>1</v>
      </c>
      <c r="S59" s="14">
        <f t="shared" ref="S59:S63" si="55">IF(H59=".",-1,1)</f>
        <v>1</v>
      </c>
    </row>
    <row r="60" spans="1:19">
      <c r="A60" s="74"/>
      <c r="C60" s="34" t="s">
        <v>3</v>
      </c>
      <c r="D60" s="34" t="s">
        <v>4</v>
      </c>
      <c r="E60" s="34" t="s">
        <v>3</v>
      </c>
      <c r="F60" s="34" t="s">
        <v>3</v>
      </c>
      <c r="G60" s="34" t="s">
        <v>3</v>
      </c>
      <c r="H60" s="34" t="s">
        <v>4</v>
      </c>
      <c r="J60" s="62"/>
      <c r="L60" s="62"/>
      <c r="N60" s="35">
        <f t="shared" si="50"/>
        <v>-1</v>
      </c>
      <c r="O60" s="14">
        <f t="shared" si="51"/>
        <v>1</v>
      </c>
      <c r="P60" s="14">
        <f t="shared" si="52"/>
        <v>-1</v>
      </c>
      <c r="Q60" s="14">
        <f t="shared" si="53"/>
        <v>-1</v>
      </c>
      <c r="R60" s="14">
        <f t="shared" si="54"/>
        <v>-1</v>
      </c>
      <c r="S60" s="14">
        <f t="shared" si="55"/>
        <v>1</v>
      </c>
    </row>
    <row r="61" spans="1:19">
      <c r="A61" s="74"/>
      <c r="C61" s="34" t="s">
        <v>3</v>
      </c>
      <c r="D61" s="34" t="s">
        <v>4</v>
      </c>
      <c r="E61" s="34" t="s">
        <v>3</v>
      </c>
      <c r="F61" s="34" t="s">
        <v>4</v>
      </c>
      <c r="G61" s="34" t="s">
        <v>3</v>
      </c>
      <c r="H61" s="34" t="s">
        <v>4</v>
      </c>
      <c r="J61" s="62"/>
      <c r="L61" s="62"/>
      <c r="N61" s="35">
        <f t="shared" si="50"/>
        <v>-1</v>
      </c>
      <c r="O61" s="14">
        <f t="shared" si="51"/>
        <v>1</v>
      </c>
      <c r="P61" s="14">
        <f t="shared" si="52"/>
        <v>-1</v>
      </c>
      <c r="Q61" s="14">
        <f t="shared" si="53"/>
        <v>1</v>
      </c>
      <c r="R61" s="14">
        <f t="shared" si="54"/>
        <v>-1</v>
      </c>
      <c r="S61" s="14">
        <f t="shared" si="55"/>
        <v>1</v>
      </c>
    </row>
    <row r="62" spans="1:19">
      <c r="A62" s="74"/>
      <c r="C62" s="34" t="s">
        <v>3</v>
      </c>
      <c r="D62" s="34" t="s">
        <v>4</v>
      </c>
      <c r="E62" s="34" t="s">
        <v>3</v>
      </c>
      <c r="F62" s="34" t="s">
        <v>3</v>
      </c>
      <c r="G62" s="34" t="s">
        <v>3</v>
      </c>
      <c r="H62" s="34" t="s">
        <v>4</v>
      </c>
      <c r="J62" s="62"/>
      <c r="L62" s="62"/>
      <c r="N62" s="35">
        <f t="shared" si="50"/>
        <v>-1</v>
      </c>
      <c r="O62" s="14">
        <f t="shared" si="51"/>
        <v>1</v>
      </c>
      <c r="P62" s="14">
        <f t="shared" si="52"/>
        <v>-1</v>
      </c>
      <c r="Q62" s="14">
        <f t="shared" si="53"/>
        <v>-1</v>
      </c>
      <c r="R62" s="14">
        <f t="shared" si="54"/>
        <v>-1</v>
      </c>
      <c r="S62" s="14">
        <f t="shared" si="55"/>
        <v>1</v>
      </c>
    </row>
    <row r="63" spans="1:19">
      <c r="A63" s="74"/>
      <c r="C63" s="34" t="s">
        <v>3</v>
      </c>
      <c r="D63" s="34" t="s">
        <v>4</v>
      </c>
      <c r="E63" s="34" t="s">
        <v>4</v>
      </c>
      <c r="F63" s="34" t="s">
        <v>4</v>
      </c>
      <c r="G63" s="34" t="s">
        <v>4</v>
      </c>
      <c r="H63" s="34" t="s">
        <v>4</v>
      </c>
      <c r="J63" s="62"/>
      <c r="L63" s="62"/>
      <c r="N63" s="35">
        <f t="shared" si="50"/>
        <v>-1</v>
      </c>
      <c r="O63" s="14">
        <f t="shared" si="51"/>
        <v>1</v>
      </c>
      <c r="P63" s="14">
        <f t="shared" si="52"/>
        <v>1</v>
      </c>
      <c r="Q63" s="14">
        <f t="shared" si="53"/>
        <v>1</v>
      </c>
      <c r="R63" s="14">
        <f t="shared" si="54"/>
        <v>1</v>
      </c>
      <c r="S63" s="14">
        <f t="shared" si="55"/>
        <v>1</v>
      </c>
    </row>
    <row r="64" spans="1:19">
      <c r="C64" s="23"/>
      <c r="D64" s="23"/>
      <c r="E64" s="23"/>
      <c r="F64" s="23"/>
      <c r="G64" s="23"/>
      <c r="H64" s="23"/>
    </row>
    <row r="65" spans="1:32">
      <c r="A65" s="62">
        <v>9</v>
      </c>
      <c r="C65" s="34" t="s">
        <v>3</v>
      </c>
      <c r="D65" s="34" t="s">
        <v>3</v>
      </c>
      <c r="E65" s="34" t="s">
        <v>4</v>
      </c>
      <c r="F65" s="34" t="s">
        <v>4</v>
      </c>
      <c r="G65" s="34" t="s">
        <v>4</v>
      </c>
      <c r="H65" s="34" t="s">
        <v>4</v>
      </c>
      <c r="J65" s="62" t="s">
        <v>5</v>
      </c>
      <c r="L65" s="62" t="s">
        <v>6</v>
      </c>
      <c r="N65" s="35">
        <f>IF(C65=".",-1,1)</f>
        <v>-1</v>
      </c>
      <c r="O65" s="14">
        <f t="shared" ref="O65:S65" si="56">IF(D65=".",-1,1)</f>
        <v>-1</v>
      </c>
      <c r="P65" s="14">
        <f t="shared" si="56"/>
        <v>1</v>
      </c>
      <c r="Q65" s="14">
        <f t="shared" si="56"/>
        <v>1</v>
      </c>
      <c r="R65" s="14">
        <f t="shared" si="56"/>
        <v>1</v>
      </c>
      <c r="S65" s="14">
        <f t="shared" si="56"/>
        <v>1</v>
      </c>
    </row>
    <row r="66" spans="1:32">
      <c r="A66" s="62"/>
      <c r="C66" s="34" t="s">
        <v>3</v>
      </c>
      <c r="D66" s="34" t="s">
        <v>3</v>
      </c>
      <c r="E66" s="34" t="s">
        <v>4</v>
      </c>
      <c r="F66" s="34" t="s">
        <v>4</v>
      </c>
      <c r="G66" s="34" t="s">
        <v>4</v>
      </c>
      <c r="H66" s="34" t="s">
        <v>4</v>
      </c>
      <c r="J66" s="62"/>
      <c r="L66" s="62"/>
      <c r="N66" s="35">
        <f t="shared" ref="N66:N70" si="57">IF(C66=".",-1,1)</f>
        <v>-1</v>
      </c>
      <c r="O66" s="14">
        <f t="shared" ref="O66:O70" si="58">IF(D66=".",-1,1)</f>
        <v>-1</v>
      </c>
      <c r="P66" s="14">
        <f t="shared" ref="P66:P70" si="59">IF(E66=".",-1,1)</f>
        <v>1</v>
      </c>
      <c r="Q66" s="14">
        <f t="shared" ref="Q66:Q70" si="60">IF(F66=".",-1,1)</f>
        <v>1</v>
      </c>
      <c r="R66" s="14">
        <f t="shared" ref="R66:R70" si="61">IF(G66=".",-1,1)</f>
        <v>1</v>
      </c>
      <c r="S66" s="14">
        <f t="shared" ref="S66:S70" si="62">IF(H66=".",-1,1)</f>
        <v>1</v>
      </c>
    </row>
    <row r="67" spans="1:32">
      <c r="A67" s="62"/>
      <c r="C67" s="34" t="s">
        <v>3</v>
      </c>
      <c r="D67" s="34" t="s">
        <v>3</v>
      </c>
      <c r="E67" s="34" t="s">
        <v>4</v>
      </c>
      <c r="F67" s="34" t="s">
        <v>4</v>
      </c>
      <c r="G67" s="34" t="s">
        <v>4</v>
      </c>
      <c r="H67" s="34" t="s">
        <v>4</v>
      </c>
      <c r="J67" s="62"/>
      <c r="L67" s="62"/>
      <c r="N67" s="35">
        <f t="shared" si="57"/>
        <v>-1</v>
      </c>
      <c r="O67" s="14">
        <f t="shared" si="58"/>
        <v>-1</v>
      </c>
      <c r="P67" s="14">
        <f t="shared" si="59"/>
        <v>1</v>
      </c>
      <c r="Q67" s="14">
        <f t="shared" si="60"/>
        <v>1</v>
      </c>
      <c r="R67" s="14">
        <f t="shared" si="61"/>
        <v>1</v>
      </c>
      <c r="S67" s="14">
        <f t="shared" si="62"/>
        <v>1</v>
      </c>
    </row>
    <row r="68" spans="1:32">
      <c r="A68" s="62"/>
      <c r="C68" s="34" t="s">
        <v>3</v>
      </c>
      <c r="D68" s="34" t="s">
        <v>3</v>
      </c>
      <c r="E68" s="34" t="s">
        <v>4</v>
      </c>
      <c r="F68" s="34" t="s">
        <v>4</v>
      </c>
      <c r="G68" s="34" t="s">
        <v>4</v>
      </c>
      <c r="H68" s="34" t="s">
        <v>4</v>
      </c>
      <c r="J68" s="62"/>
      <c r="L68" s="62"/>
      <c r="N68" s="35">
        <f t="shared" si="57"/>
        <v>-1</v>
      </c>
      <c r="O68" s="14">
        <f t="shared" si="58"/>
        <v>-1</v>
      </c>
      <c r="P68" s="14">
        <f t="shared" si="59"/>
        <v>1</v>
      </c>
      <c r="Q68" s="14">
        <f t="shared" si="60"/>
        <v>1</v>
      </c>
      <c r="R68" s="14">
        <f t="shared" si="61"/>
        <v>1</v>
      </c>
      <c r="S68" s="14">
        <f t="shared" si="62"/>
        <v>1</v>
      </c>
    </row>
    <row r="69" spans="1:32">
      <c r="A69" s="62"/>
      <c r="C69" s="34" t="s">
        <v>3</v>
      </c>
      <c r="D69" s="34" t="s">
        <v>3</v>
      </c>
      <c r="E69" s="34" t="s">
        <v>3</v>
      </c>
      <c r="F69" s="34" t="s">
        <v>3</v>
      </c>
      <c r="G69" s="34" t="s">
        <v>3</v>
      </c>
      <c r="H69" s="34" t="s">
        <v>3</v>
      </c>
      <c r="J69" s="62"/>
      <c r="L69" s="62"/>
      <c r="N69" s="35">
        <f t="shared" si="57"/>
        <v>-1</v>
      </c>
      <c r="O69" s="14">
        <f t="shared" si="58"/>
        <v>-1</v>
      </c>
      <c r="P69" s="14">
        <f t="shared" si="59"/>
        <v>-1</v>
      </c>
      <c r="Q69" s="14">
        <f t="shared" si="60"/>
        <v>-1</v>
      </c>
      <c r="R69" s="14">
        <f t="shared" si="61"/>
        <v>-1</v>
      </c>
      <c r="S69" s="14">
        <f t="shared" si="62"/>
        <v>-1</v>
      </c>
    </row>
    <row r="70" spans="1:32">
      <c r="A70" s="62"/>
      <c r="C70" s="34" t="s">
        <v>3</v>
      </c>
      <c r="D70" s="34" t="s">
        <v>3</v>
      </c>
      <c r="E70" s="34" t="s">
        <v>3</v>
      </c>
      <c r="F70" s="34" t="s">
        <v>3</v>
      </c>
      <c r="G70" s="34" t="s">
        <v>3</v>
      </c>
      <c r="H70" s="34" t="s">
        <v>3</v>
      </c>
      <c r="J70" s="62"/>
      <c r="L70" s="62"/>
      <c r="N70" s="35">
        <f t="shared" si="57"/>
        <v>-1</v>
      </c>
      <c r="O70" s="14">
        <f t="shared" si="58"/>
        <v>-1</v>
      </c>
      <c r="P70" s="14">
        <f t="shared" si="59"/>
        <v>-1</v>
      </c>
      <c r="Q70" s="14">
        <f t="shared" si="60"/>
        <v>-1</v>
      </c>
      <c r="R70" s="14">
        <f t="shared" si="61"/>
        <v>-1</v>
      </c>
      <c r="S70" s="14">
        <f t="shared" si="62"/>
        <v>-1</v>
      </c>
    </row>
    <row r="71" spans="1:32">
      <c r="C71" s="23"/>
      <c r="D71" s="23"/>
      <c r="E71" s="23"/>
      <c r="F71" s="23"/>
      <c r="G71" s="23"/>
      <c r="H71" s="23"/>
    </row>
    <row r="72" spans="1:32">
      <c r="A72" s="62">
        <v>10</v>
      </c>
      <c r="C72" s="34" t="s">
        <v>3</v>
      </c>
      <c r="D72" s="34" t="s">
        <v>3</v>
      </c>
      <c r="E72" s="34" t="s">
        <v>3</v>
      </c>
      <c r="F72" s="34" t="s">
        <v>4</v>
      </c>
      <c r="G72" s="34" t="s">
        <v>4</v>
      </c>
      <c r="H72" s="34" t="s">
        <v>3</v>
      </c>
      <c r="J72" s="62" t="s">
        <v>6</v>
      </c>
      <c r="L72" s="62" t="s">
        <v>5</v>
      </c>
      <c r="N72" s="35">
        <f>IF(C72=".",-1,1)</f>
        <v>-1</v>
      </c>
      <c r="O72" s="14">
        <f t="shared" ref="O72:S72" si="63">IF(D72=".",-1,1)</f>
        <v>-1</v>
      </c>
      <c r="P72" s="14">
        <f t="shared" si="63"/>
        <v>-1</v>
      </c>
      <c r="Q72" s="14">
        <f t="shared" si="63"/>
        <v>1</v>
      </c>
      <c r="R72" s="14">
        <f t="shared" si="63"/>
        <v>1</v>
      </c>
      <c r="S72" s="14">
        <f t="shared" si="63"/>
        <v>-1</v>
      </c>
    </row>
    <row r="73" spans="1:32">
      <c r="A73" s="62"/>
      <c r="C73" s="34" t="s">
        <v>3</v>
      </c>
      <c r="D73" s="34" t="s">
        <v>3</v>
      </c>
      <c r="E73" s="34" t="s">
        <v>3</v>
      </c>
      <c r="F73" s="34" t="s">
        <v>4</v>
      </c>
      <c r="G73" s="34" t="s">
        <v>4</v>
      </c>
      <c r="H73" s="34" t="s">
        <v>3</v>
      </c>
      <c r="J73" s="62"/>
      <c r="L73" s="62"/>
      <c r="N73" s="35">
        <f t="shared" ref="N73:N77" si="64">IF(C73=".",-1,1)</f>
        <v>-1</v>
      </c>
      <c r="O73" s="14">
        <f t="shared" ref="O73:O77" si="65">IF(D73=".",-1,1)</f>
        <v>-1</v>
      </c>
      <c r="P73" s="14">
        <f t="shared" ref="P73:P77" si="66">IF(E73=".",-1,1)</f>
        <v>-1</v>
      </c>
      <c r="Q73" s="14">
        <f t="shared" ref="Q73:Q77" si="67">IF(F73=".",-1,1)</f>
        <v>1</v>
      </c>
      <c r="R73" s="14">
        <f t="shared" ref="R73:R77" si="68">IF(G73=".",-1,1)</f>
        <v>1</v>
      </c>
      <c r="S73" s="14">
        <f t="shared" ref="S73:S77" si="69">IF(H73=".",-1,1)</f>
        <v>-1</v>
      </c>
    </row>
    <row r="74" spans="1:32">
      <c r="A74" s="62"/>
      <c r="C74" s="34" t="s">
        <v>4</v>
      </c>
      <c r="D74" s="34" t="s">
        <v>4</v>
      </c>
      <c r="E74" s="34" t="s">
        <v>4</v>
      </c>
      <c r="F74" s="34" t="s">
        <v>4</v>
      </c>
      <c r="G74" s="34" t="s">
        <v>4</v>
      </c>
      <c r="H74" s="34" t="s">
        <v>3</v>
      </c>
      <c r="J74" s="62"/>
      <c r="L74" s="62"/>
      <c r="N74" s="35">
        <f t="shared" si="64"/>
        <v>1</v>
      </c>
      <c r="O74" s="14">
        <f t="shared" si="65"/>
        <v>1</v>
      </c>
      <c r="P74" s="14">
        <f t="shared" si="66"/>
        <v>1</v>
      </c>
      <c r="Q74" s="14">
        <f t="shared" si="67"/>
        <v>1</v>
      </c>
      <c r="R74" s="14">
        <f t="shared" si="68"/>
        <v>1</v>
      </c>
      <c r="S74" s="14">
        <f t="shared" si="69"/>
        <v>-1</v>
      </c>
    </row>
    <row r="75" spans="1:32">
      <c r="A75" s="62"/>
      <c r="C75" s="34" t="s">
        <v>4</v>
      </c>
      <c r="D75" s="34" t="s">
        <v>3</v>
      </c>
      <c r="E75" s="34" t="s">
        <v>3</v>
      </c>
      <c r="F75" s="34" t="s">
        <v>3</v>
      </c>
      <c r="G75" s="34" t="s">
        <v>4</v>
      </c>
      <c r="H75" s="34" t="s">
        <v>3</v>
      </c>
      <c r="J75" s="62"/>
      <c r="L75" s="62"/>
      <c r="N75" s="35">
        <f t="shared" si="64"/>
        <v>1</v>
      </c>
      <c r="O75" s="14">
        <f t="shared" si="65"/>
        <v>-1</v>
      </c>
      <c r="P75" s="14">
        <f t="shared" si="66"/>
        <v>-1</v>
      </c>
      <c r="Q75" s="14">
        <f t="shared" si="67"/>
        <v>-1</v>
      </c>
      <c r="R75" s="14">
        <f t="shared" si="68"/>
        <v>1</v>
      </c>
      <c r="S75" s="14">
        <f t="shared" si="69"/>
        <v>-1</v>
      </c>
    </row>
    <row r="76" spans="1:32">
      <c r="A76" s="62"/>
      <c r="C76" s="34" t="s">
        <v>4</v>
      </c>
      <c r="D76" s="34" t="s">
        <v>3</v>
      </c>
      <c r="E76" s="34" t="s">
        <v>3</v>
      </c>
      <c r="F76" s="34" t="s">
        <v>3</v>
      </c>
      <c r="G76" s="34" t="s">
        <v>4</v>
      </c>
      <c r="H76" s="34" t="s">
        <v>3</v>
      </c>
      <c r="J76" s="62"/>
      <c r="L76" s="62"/>
      <c r="N76" s="35">
        <f t="shared" si="64"/>
        <v>1</v>
      </c>
      <c r="O76" s="14">
        <f t="shared" si="65"/>
        <v>-1</v>
      </c>
      <c r="P76" s="14">
        <f t="shared" si="66"/>
        <v>-1</v>
      </c>
      <c r="Q76" s="14">
        <f t="shared" si="67"/>
        <v>-1</v>
      </c>
      <c r="R76" s="14">
        <f t="shared" si="68"/>
        <v>1</v>
      </c>
      <c r="S76" s="14">
        <f t="shared" si="69"/>
        <v>-1</v>
      </c>
    </row>
    <row r="77" spans="1:32">
      <c r="A77" s="62"/>
      <c r="C77" s="34" t="s">
        <v>4</v>
      </c>
      <c r="D77" s="34" t="s">
        <v>4</v>
      </c>
      <c r="E77" s="34" t="s">
        <v>4</v>
      </c>
      <c r="F77" s="34" t="s">
        <v>4</v>
      </c>
      <c r="G77" s="34" t="s">
        <v>4</v>
      </c>
      <c r="H77" s="34" t="s">
        <v>3</v>
      </c>
      <c r="J77" s="62"/>
      <c r="L77" s="62"/>
      <c r="N77" s="35">
        <f t="shared" si="64"/>
        <v>1</v>
      </c>
      <c r="O77" s="14">
        <f t="shared" si="65"/>
        <v>1</v>
      </c>
      <c r="P77" s="14">
        <f t="shared" si="66"/>
        <v>1</v>
      </c>
      <c r="Q77" s="14">
        <f t="shared" si="67"/>
        <v>1</v>
      </c>
      <c r="R77" s="14">
        <f t="shared" si="68"/>
        <v>1</v>
      </c>
      <c r="S77" s="14">
        <f t="shared" si="69"/>
        <v>-1</v>
      </c>
    </row>
    <row r="78" spans="1:32" s="30" customFormat="1">
      <c r="A78" s="40"/>
      <c r="B78" s="32"/>
      <c r="C78" s="29"/>
      <c r="D78" s="29"/>
      <c r="E78" s="29"/>
      <c r="F78" s="29"/>
      <c r="G78" s="29"/>
      <c r="H78" s="29"/>
      <c r="I78" s="32"/>
      <c r="J78" s="40"/>
      <c r="K78" s="32"/>
      <c r="L78" s="40"/>
      <c r="M78" s="32"/>
      <c r="N78" s="32"/>
      <c r="O78" s="32"/>
      <c r="P78" s="32"/>
      <c r="Q78" s="32"/>
      <c r="R78" s="32"/>
      <c r="S78" s="32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ht="12.75" customHeight="1">
      <c r="A79" s="63" t="s">
        <v>92</v>
      </c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</row>
    <row r="80" spans="1:32" s="30" customFormat="1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5" s="30" customFormat="1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10"/>
      <c r="AA81" s="10"/>
      <c r="AB81" s="10"/>
      <c r="AC81" s="10"/>
      <c r="AD81" s="10"/>
      <c r="AE81" s="10"/>
      <c r="AF81" s="10"/>
    </row>
    <row r="82" spans="1:35" s="30" customFormat="1" ht="12.75" customHeight="1">
      <c r="A82" s="54" t="s">
        <v>90</v>
      </c>
      <c r="B82" s="38"/>
      <c r="C82" s="56" t="s">
        <v>86</v>
      </c>
      <c r="D82" s="56"/>
      <c r="E82" s="56"/>
      <c r="F82" s="56"/>
      <c r="G82" s="56"/>
      <c r="H82" s="56"/>
      <c r="I82" s="38"/>
      <c r="J82" s="56" t="s">
        <v>89</v>
      </c>
      <c r="K82" s="38"/>
      <c r="L82" s="56" t="s">
        <v>2</v>
      </c>
      <c r="M82" s="38"/>
      <c r="N82" s="58" t="s">
        <v>95</v>
      </c>
      <c r="O82" s="59"/>
      <c r="P82" s="38"/>
      <c r="Q82" s="64" t="s">
        <v>44</v>
      </c>
      <c r="R82" s="65"/>
      <c r="S82" s="65"/>
      <c r="T82" s="65"/>
      <c r="U82" s="65"/>
      <c r="V82" s="66"/>
      <c r="W82" s="32"/>
      <c r="X82" s="32"/>
      <c r="Y82" s="32"/>
      <c r="Z82" s="10"/>
      <c r="AA82" s="10"/>
      <c r="AB82" s="10"/>
      <c r="AC82" s="10"/>
      <c r="AD82" s="10"/>
      <c r="AE82" s="10"/>
      <c r="AF82" s="10"/>
    </row>
    <row r="83" spans="1:35" ht="12" customHeight="1">
      <c r="A83" s="55"/>
      <c r="B83" s="38"/>
      <c r="C83" s="57"/>
      <c r="D83" s="57"/>
      <c r="E83" s="57"/>
      <c r="F83" s="57"/>
      <c r="G83" s="57"/>
      <c r="H83" s="57"/>
      <c r="I83" s="38"/>
      <c r="J83" s="57"/>
      <c r="K83" s="38"/>
      <c r="L83" s="57"/>
      <c r="M83" s="38"/>
      <c r="N83" s="60"/>
      <c r="O83" s="61"/>
      <c r="P83" s="44"/>
      <c r="Q83" s="60"/>
      <c r="R83" s="67"/>
      <c r="S83" s="67"/>
      <c r="T83" s="67"/>
      <c r="U83" s="67"/>
      <c r="V83" s="61"/>
      <c r="W83" s="13"/>
      <c r="AG83" s="10"/>
    </row>
    <row r="84" spans="1:35">
      <c r="A84" s="62">
        <v>11</v>
      </c>
      <c r="C84" s="34" t="s">
        <v>3</v>
      </c>
      <c r="D84" s="34" t="s">
        <v>3</v>
      </c>
      <c r="E84" s="34" t="s">
        <v>3</v>
      </c>
      <c r="F84" s="34" t="s">
        <v>3</v>
      </c>
      <c r="G84" s="34" t="s">
        <v>3</v>
      </c>
      <c r="H84" s="34" t="s">
        <v>3</v>
      </c>
      <c r="J84" s="62" t="s">
        <v>5</v>
      </c>
      <c r="L84" s="62" t="s">
        <v>6</v>
      </c>
      <c r="M84" s="40"/>
      <c r="N84" s="48" t="s">
        <v>94</v>
      </c>
      <c r="O84" s="49"/>
      <c r="P84" s="32"/>
      <c r="Q84" s="35">
        <f>IF(C84=".",-1,1)</f>
        <v>-1</v>
      </c>
      <c r="R84" s="14">
        <f t="shared" ref="R84:V84" si="70">IF(D84=".",-1,1)</f>
        <v>-1</v>
      </c>
      <c r="S84" s="14">
        <f t="shared" si="70"/>
        <v>-1</v>
      </c>
      <c r="T84" s="14">
        <f t="shared" si="70"/>
        <v>-1</v>
      </c>
      <c r="U84" s="14">
        <f t="shared" si="70"/>
        <v>-1</v>
      </c>
      <c r="V84" s="14">
        <f t="shared" si="70"/>
        <v>-1</v>
      </c>
      <c r="W84" s="13"/>
      <c r="X84" s="13"/>
      <c r="Y84" s="13"/>
      <c r="AG84" s="10"/>
      <c r="AH84" s="10"/>
      <c r="AI84" s="10"/>
    </row>
    <row r="85" spans="1:35">
      <c r="A85" s="62"/>
      <c r="C85" s="34" t="s">
        <v>3</v>
      </c>
      <c r="D85" s="34" t="s">
        <v>3</v>
      </c>
      <c r="E85" s="34" t="s">
        <v>4</v>
      </c>
      <c r="F85" s="34" t="s">
        <v>4</v>
      </c>
      <c r="G85" s="34" t="s">
        <v>4</v>
      </c>
      <c r="H85" s="34" t="s">
        <v>4</v>
      </c>
      <c r="J85" s="62"/>
      <c r="L85" s="62"/>
      <c r="M85" s="40"/>
      <c r="N85" s="50"/>
      <c r="O85" s="51"/>
      <c r="P85" s="32"/>
      <c r="Q85" s="35">
        <f t="shared" ref="Q85:Q88" si="71">IF(C85=".",-1,1)</f>
        <v>-1</v>
      </c>
      <c r="R85" s="14">
        <f t="shared" ref="R85:R89" si="72">IF(D85=".",-1,1)</f>
        <v>-1</v>
      </c>
      <c r="S85" s="14">
        <f t="shared" ref="S85:S89" si="73">IF(E85=".",-1,1)</f>
        <v>1</v>
      </c>
      <c r="T85" s="14">
        <f t="shared" ref="T85:T89" si="74">IF(F85=".",-1,1)</f>
        <v>1</v>
      </c>
      <c r="U85" s="14">
        <f t="shared" ref="U85:U89" si="75">IF(G85=".",-1,1)</f>
        <v>1</v>
      </c>
      <c r="V85" s="14">
        <f t="shared" ref="V85:V89" si="76">IF(H85=".",-1,1)</f>
        <v>1</v>
      </c>
      <c r="W85" s="13"/>
      <c r="X85" s="13"/>
      <c r="Y85" s="13"/>
      <c r="AG85" s="10"/>
      <c r="AH85" s="10"/>
      <c r="AI85" s="10"/>
    </row>
    <row r="86" spans="1:35">
      <c r="A86" s="62"/>
      <c r="C86" s="34" t="s">
        <v>3</v>
      </c>
      <c r="D86" s="34" t="s">
        <v>3</v>
      </c>
      <c r="E86" s="34" t="s">
        <v>4</v>
      </c>
      <c r="F86" s="34" t="s">
        <v>4</v>
      </c>
      <c r="G86" s="34" t="s">
        <v>4</v>
      </c>
      <c r="H86" s="34" t="s">
        <v>4</v>
      </c>
      <c r="J86" s="62"/>
      <c r="L86" s="62"/>
      <c r="M86" s="40"/>
      <c r="N86" s="50"/>
      <c r="O86" s="51"/>
      <c r="P86" s="32"/>
      <c r="Q86" s="35">
        <f t="shared" si="71"/>
        <v>-1</v>
      </c>
      <c r="R86" s="14">
        <f t="shared" si="72"/>
        <v>-1</v>
      </c>
      <c r="S86" s="14">
        <f t="shared" si="73"/>
        <v>1</v>
      </c>
      <c r="T86" s="14">
        <f t="shared" si="74"/>
        <v>1</v>
      </c>
      <c r="U86" s="14">
        <f t="shared" si="75"/>
        <v>1</v>
      </c>
      <c r="V86" s="14">
        <f t="shared" si="76"/>
        <v>1</v>
      </c>
      <c r="W86" s="13"/>
      <c r="X86" s="13"/>
      <c r="Y86" s="13"/>
      <c r="AG86" s="10"/>
      <c r="AH86" s="10"/>
      <c r="AI86" s="10"/>
    </row>
    <row r="87" spans="1:35">
      <c r="A87" s="62"/>
      <c r="C87" s="34" t="s">
        <v>3</v>
      </c>
      <c r="D87" s="34" t="s">
        <v>3</v>
      </c>
      <c r="E87" s="34" t="s">
        <v>4</v>
      </c>
      <c r="F87" s="34" t="s">
        <v>4</v>
      </c>
      <c r="G87" s="34" t="s">
        <v>4</v>
      </c>
      <c r="H87" s="34" t="s">
        <v>4</v>
      </c>
      <c r="J87" s="62"/>
      <c r="L87" s="62"/>
      <c r="M87" s="40"/>
      <c r="N87" s="50"/>
      <c r="O87" s="51"/>
      <c r="P87" s="32"/>
      <c r="Q87" s="35">
        <f t="shared" si="71"/>
        <v>-1</v>
      </c>
      <c r="R87" s="14">
        <f t="shared" si="72"/>
        <v>-1</v>
      </c>
      <c r="S87" s="14">
        <f t="shared" si="73"/>
        <v>1</v>
      </c>
      <c r="T87" s="14">
        <f t="shared" si="74"/>
        <v>1</v>
      </c>
      <c r="U87" s="14">
        <f t="shared" si="75"/>
        <v>1</v>
      </c>
      <c r="V87" s="14">
        <f t="shared" si="76"/>
        <v>1</v>
      </c>
      <c r="W87" s="13"/>
      <c r="X87" s="13"/>
      <c r="Y87" s="13"/>
      <c r="AG87" s="10"/>
      <c r="AH87" s="10"/>
      <c r="AI87" s="10"/>
    </row>
    <row r="88" spans="1:35">
      <c r="A88" s="62"/>
      <c r="C88" s="34" t="s">
        <v>3</v>
      </c>
      <c r="D88" s="34" t="s">
        <v>3</v>
      </c>
      <c r="E88" s="34" t="s">
        <v>4</v>
      </c>
      <c r="F88" s="34" t="s">
        <v>4</v>
      </c>
      <c r="G88" s="34" t="s">
        <v>4</v>
      </c>
      <c r="H88" s="34" t="s">
        <v>4</v>
      </c>
      <c r="J88" s="62"/>
      <c r="L88" s="62"/>
      <c r="M88" s="40"/>
      <c r="N88" s="50"/>
      <c r="O88" s="51"/>
      <c r="P88" s="32"/>
      <c r="Q88" s="35">
        <f t="shared" si="71"/>
        <v>-1</v>
      </c>
      <c r="R88" s="14">
        <f t="shared" si="72"/>
        <v>-1</v>
      </c>
      <c r="S88" s="14">
        <f t="shared" si="73"/>
        <v>1</v>
      </c>
      <c r="T88" s="14">
        <f t="shared" si="74"/>
        <v>1</v>
      </c>
      <c r="U88" s="14">
        <f t="shared" si="75"/>
        <v>1</v>
      </c>
      <c r="V88" s="14">
        <f t="shared" si="76"/>
        <v>1</v>
      </c>
      <c r="W88" s="13"/>
      <c r="X88" s="13"/>
      <c r="Y88" s="13"/>
      <c r="AG88" s="10"/>
      <c r="AH88" s="10"/>
      <c r="AI88" s="10"/>
    </row>
    <row r="89" spans="1:35">
      <c r="A89" s="62"/>
      <c r="C89" s="34" t="s">
        <v>3</v>
      </c>
      <c r="D89" s="34" t="s">
        <v>3</v>
      </c>
      <c r="E89" s="34" t="s">
        <v>3</v>
      </c>
      <c r="F89" s="34" t="s">
        <v>3</v>
      </c>
      <c r="G89" s="34" t="s">
        <v>3</v>
      </c>
      <c r="H89" s="34" t="s">
        <v>3</v>
      </c>
      <c r="J89" s="62"/>
      <c r="L89" s="62"/>
      <c r="M89" s="40"/>
      <c r="N89" s="52"/>
      <c r="O89" s="53"/>
      <c r="P89" s="32"/>
      <c r="Q89" s="35">
        <f>IF(C89=".",-1,1)</f>
        <v>-1</v>
      </c>
      <c r="R89" s="14">
        <f t="shared" si="72"/>
        <v>-1</v>
      </c>
      <c r="S89" s="14">
        <f t="shared" si="73"/>
        <v>-1</v>
      </c>
      <c r="T89" s="14">
        <f t="shared" si="74"/>
        <v>-1</v>
      </c>
      <c r="U89" s="14">
        <f t="shared" si="75"/>
        <v>-1</v>
      </c>
      <c r="V89" s="14">
        <f t="shared" si="76"/>
        <v>-1</v>
      </c>
      <c r="W89" s="13"/>
      <c r="X89" s="13"/>
      <c r="Y89" s="13"/>
      <c r="AG89" s="10"/>
      <c r="AH89" s="10"/>
      <c r="AI89" s="10"/>
    </row>
    <row r="90" spans="1:35">
      <c r="C90" s="23"/>
      <c r="D90" s="23"/>
      <c r="E90" s="23"/>
      <c r="F90" s="23"/>
      <c r="G90" s="23"/>
      <c r="H90" s="23"/>
      <c r="M90" s="30"/>
      <c r="N90" s="30"/>
      <c r="O90" s="30"/>
      <c r="P90" s="32"/>
      <c r="W90" s="13"/>
      <c r="X90" s="13"/>
      <c r="Y90" s="13"/>
      <c r="AG90" s="10"/>
      <c r="AH90" s="10"/>
      <c r="AI90" s="10"/>
    </row>
    <row r="91" spans="1:35">
      <c r="A91" s="62">
        <v>12</v>
      </c>
      <c r="C91" s="34" t="s">
        <v>3</v>
      </c>
      <c r="D91" s="34" t="s">
        <v>3</v>
      </c>
      <c r="E91" s="34" t="s">
        <v>3</v>
      </c>
      <c r="F91" s="34" t="s">
        <v>3</v>
      </c>
      <c r="G91" s="34" t="s">
        <v>3</v>
      </c>
      <c r="H91" s="34" t="s">
        <v>3</v>
      </c>
      <c r="J91" s="62" t="s">
        <v>6</v>
      </c>
      <c r="L91" s="62" t="s">
        <v>5</v>
      </c>
      <c r="M91" s="40"/>
      <c r="N91" s="48" t="s">
        <v>94</v>
      </c>
      <c r="O91" s="49"/>
      <c r="P91" s="32"/>
      <c r="Q91" s="35">
        <f>IF(C91=".",-1,1)</f>
        <v>-1</v>
      </c>
      <c r="R91" s="14">
        <f t="shared" ref="R91:V91" si="77">IF(D91=".",-1,1)</f>
        <v>-1</v>
      </c>
      <c r="S91" s="14">
        <f t="shared" si="77"/>
        <v>-1</v>
      </c>
      <c r="T91" s="14">
        <f t="shared" si="77"/>
        <v>-1</v>
      </c>
      <c r="U91" s="14">
        <f t="shared" si="77"/>
        <v>-1</v>
      </c>
      <c r="V91" s="14">
        <f t="shared" si="77"/>
        <v>-1</v>
      </c>
      <c r="W91" s="13"/>
      <c r="X91" s="13"/>
      <c r="Y91" s="13"/>
      <c r="AG91" s="10"/>
      <c r="AH91" s="10"/>
      <c r="AI91" s="10"/>
    </row>
    <row r="92" spans="1:35">
      <c r="A92" s="62"/>
      <c r="C92" s="34" t="s">
        <v>4</v>
      </c>
      <c r="D92" s="34" t="s">
        <v>4</v>
      </c>
      <c r="E92" s="34" t="s">
        <v>4</v>
      </c>
      <c r="F92" s="34" t="s">
        <v>4</v>
      </c>
      <c r="G92" s="34" t="s">
        <v>4</v>
      </c>
      <c r="H92" s="34" t="s">
        <v>3</v>
      </c>
      <c r="J92" s="62"/>
      <c r="L92" s="62"/>
      <c r="M92" s="40"/>
      <c r="N92" s="50"/>
      <c r="O92" s="51"/>
      <c r="P92" s="32"/>
      <c r="Q92" s="35">
        <f t="shared" ref="Q92:Q96" si="78">IF(C92=".",-1,1)</f>
        <v>1</v>
      </c>
      <c r="R92" s="14">
        <f t="shared" ref="R92:R96" si="79">IF(D92=".",-1,1)</f>
        <v>1</v>
      </c>
      <c r="S92" s="14">
        <f t="shared" ref="S92:S96" si="80">IF(E92=".",-1,1)</f>
        <v>1</v>
      </c>
      <c r="T92" s="14">
        <f t="shared" ref="T92:T96" si="81">IF(F92=".",-1,1)</f>
        <v>1</v>
      </c>
      <c r="U92" s="14">
        <f t="shared" ref="U92:U96" si="82">IF(G92=".",-1,1)</f>
        <v>1</v>
      </c>
      <c r="V92" s="14">
        <f t="shared" ref="V92:V96" si="83">IF(H92=".",-1,1)</f>
        <v>-1</v>
      </c>
      <c r="W92" s="13"/>
      <c r="X92" s="13"/>
      <c r="Y92" s="13"/>
      <c r="AG92" s="10"/>
      <c r="AH92" s="10"/>
      <c r="AI92" s="10"/>
    </row>
    <row r="93" spans="1:35">
      <c r="A93" s="62"/>
      <c r="C93" s="34" t="s">
        <v>4</v>
      </c>
      <c r="D93" s="34" t="s">
        <v>4</v>
      </c>
      <c r="E93" s="34" t="s">
        <v>3</v>
      </c>
      <c r="F93" s="34" t="s">
        <v>4</v>
      </c>
      <c r="G93" s="34" t="s">
        <v>4</v>
      </c>
      <c r="H93" s="34" t="s">
        <v>3</v>
      </c>
      <c r="J93" s="62"/>
      <c r="L93" s="62"/>
      <c r="M93" s="40"/>
      <c r="N93" s="50"/>
      <c r="O93" s="51"/>
      <c r="P93" s="32"/>
      <c r="Q93" s="35">
        <f t="shared" si="78"/>
        <v>1</v>
      </c>
      <c r="R93" s="14">
        <f t="shared" si="79"/>
        <v>1</v>
      </c>
      <c r="S93" s="14">
        <f t="shared" si="80"/>
        <v>-1</v>
      </c>
      <c r="T93" s="14">
        <f t="shared" si="81"/>
        <v>1</v>
      </c>
      <c r="U93" s="14">
        <f t="shared" si="82"/>
        <v>1</v>
      </c>
      <c r="V93" s="14">
        <f t="shared" si="83"/>
        <v>-1</v>
      </c>
      <c r="W93" s="13"/>
      <c r="X93" s="13"/>
      <c r="Y93" s="13"/>
      <c r="AG93" s="10"/>
      <c r="AH93" s="10"/>
      <c r="AI93" s="10"/>
    </row>
    <row r="94" spans="1:35">
      <c r="A94" s="62"/>
      <c r="C94" s="34" t="s">
        <v>4</v>
      </c>
      <c r="D94" s="34" t="s">
        <v>4</v>
      </c>
      <c r="E94" s="34" t="s">
        <v>3</v>
      </c>
      <c r="F94" s="34" t="s">
        <v>4</v>
      </c>
      <c r="G94" s="34" t="s">
        <v>4</v>
      </c>
      <c r="H94" s="34" t="s">
        <v>3</v>
      </c>
      <c r="J94" s="62"/>
      <c r="L94" s="62"/>
      <c r="M94" s="40"/>
      <c r="N94" s="50"/>
      <c r="O94" s="51"/>
      <c r="P94" s="32"/>
      <c r="Q94" s="35">
        <f t="shared" si="78"/>
        <v>1</v>
      </c>
      <c r="R94" s="14">
        <f t="shared" si="79"/>
        <v>1</v>
      </c>
      <c r="S94" s="14">
        <f t="shared" si="80"/>
        <v>-1</v>
      </c>
      <c r="T94" s="14">
        <f t="shared" si="81"/>
        <v>1</v>
      </c>
      <c r="U94" s="14">
        <f t="shared" si="82"/>
        <v>1</v>
      </c>
      <c r="V94" s="14">
        <f t="shared" si="83"/>
        <v>-1</v>
      </c>
      <c r="W94" s="13"/>
      <c r="X94" s="13"/>
      <c r="Y94" s="13"/>
      <c r="AG94" s="10"/>
      <c r="AH94" s="10"/>
      <c r="AI94" s="10"/>
    </row>
    <row r="95" spans="1:35">
      <c r="A95" s="62"/>
      <c r="C95" s="34" t="s">
        <v>4</v>
      </c>
      <c r="D95" s="34" t="s">
        <v>4</v>
      </c>
      <c r="E95" s="34" t="s">
        <v>4</v>
      </c>
      <c r="F95" s="34" t="s">
        <v>4</v>
      </c>
      <c r="G95" s="34" t="s">
        <v>4</v>
      </c>
      <c r="H95" s="34" t="s">
        <v>3</v>
      </c>
      <c r="J95" s="62"/>
      <c r="L95" s="62"/>
      <c r="M95" s="40"/>
      <c r="N95" s="50"/>
      <c r="O95" s="51"/>
      <c r="P95" s="32"/>
      <c r="Q95" s="35">
        <f t="shared" si="78"/>
        <v>1</v>
      </c>
      <c r="R95" s="14">
        <f t="shared" si="79"/>
        <v>1</v>
      </c>
      <c r="S95" s="14">
        <f t="shared" si="80"/>
        <v>1</v>
      </c>
      <c r="T95" s="14">
        <f t="shared" si="81"/>
        <v>1</v>
      </c>
      <c r="U95" s="14">
        <f t="shared" si="82"/>
        <v>1</v>
      </c>
      <c r="V95" s="14">
        <f t="shared" si="83"/>
        <v>-1</v>
      </c>
      <c r="W95" s="13"/>
      <c r="X95" s="13"/>
      <c r="Y95" s="13"/>
      <c r="AG95" s="10"/>
      <c r="AH95" s="10"/>
      <c r="AI95" s="10"/>
    </row>
    <row r="96" spans="1:35">
      <c r="A96" s="62"/>
      <c r="C96" s="34" t="s">
        <v>3</v>
      </c>
      <c r="D96" s="34" t="s">
        <v>3</v>
      </c>
      <c r="E96" s="34" t="s">
        <v>3</v>
      </c>
      <c r="F96" s="34" t="s">
        <v>3</v>
      </c>
      <c r="G96" s="34" t="s">
        <v>3</v>
      </c>
      <c r="H96" s="34" t="s">
        <v>3</v>
      </c>
      <c r="J96" s="62"/>
      <c r="L96" s="62"/>
      <c r="M96" s="40"/>
      <c r="N96" s="52"/>
      <c r="O96" s="53"/>
      <c r="P96" s="32"/>
      <c r="Q96" s="35">
        <f t="shared" si="78"/>
        <v>-1</v>
      </c>
      <c r="R96" s="14">
        <f t="shared" si="79"/>
        <v>-1</v>
      </c>
      <c r="S96" s="14">
        <f t="shared" si="80"/>
        <v>-1</v>
      </c>
      <c r="T96" s="14">
        <f t="shared" si="81"/>
        <v>-1</v>
      </c>
      <c r="U96" s="14">
        <f t="shared" si="82"/>
        <v>-1</v>
      </c>
      <c r="V96" s="14">
        <f t="shared" si="83"/>
        <v>-1</v>
      </c>
      <c r="W96" s="13"/>
      <c r="X96" s="13"/>
      <c r="Y96" s="13"/>
      <c r="AG96" s="10"/>
      <c r="AH96" s="10"/>
      <c r="AI96" s="10"/>
    </row>
    <row r="97" spans="1:35">
      <c r="C97" s="23"/>
      <c r="D97" s="23"/>
      <c r="E97" s="23"/>
      <c r="F97" s="23"/>
      <c r="G97" s="23"/>
      <c r="H97" s="23"/>
      <c r="M97" s="30"/>
      <c r="N97" s="30"/>
      <c r="O97" s="30"/>
      <c r="P97" s="32"/>
      <c r="W97" s="13"/>
      <c r="X97" s="13"/>
      <c r="Y97" s="13"/>
      <c r="AG97" s="10"/>
      <c r="AH97" s="10"/>
      <c r="AI97" s="10"/>
    </row>
    <row r="98" spans="1:35">
      <c r="A98" s="62">
        <v>13</v>
      </c>
      <c r="C98" s="34" t="s">
        <v>3</v>
      </c>
      <c r="D98" s="34" t="s">
        <v>3</v>
      </c>
      <c r="E98" s="34" t="s">
        <v>3</v>
      </c>
      <c r="F98" s="34" t="s">
        <v>3</v>
      </c>
      <c r="G98" s="34" t="s">
        <v>3</v>
      </c>
      <c r="H98" s="34" t="s">
        <v>3</v>
      </c>
      <c r="J98" s="62" t="s">
        <v>5</v>
      </c>
      <c r="L98" s="62" t="s">
        <v>6</v>
      </c>
      <c r="M98" s="40"/>
      <c r="N98" s="48" t="s">
        <v>94</v>
      </c>
      <c r="O98" s="49"/>
      <c r="P98" s="32"/>
      <c r="Q98" s="35">
        <f t="shared" ref="Q98:Q103" si="84">IF(C98=".",-1,1)</f>
        <v>-1</v>
      </c>
      <c r="R98" s="14">
        <f t="shared" ref="R98:V98" si="85">IF(D98=".",-1,1)</f>
        <v>-1</v>
      </c>
      <c r="S98" s="14">
        <f t="shared" si="85"/>
        <v>-1</v>
      </c>
      <c r="T98" s="14">
        <f t="shared" si="85"/>
        <v>-1</v>
      </c>
      <c r="U98" s="14">
        <f t="shared" si="85"/>
        <v>-1</v>
      </c>
      <c r="V98" s="14">
        <f t="shared" si="85"/>
        <v>-1</v>
      </c>
      <c r="W98" s="13"/>
      <c r="X98" s="13"/>
      <c r="Y98" s="13"/>
      <c r="AG98" s="10"/>
      <c r="AH98" s="10"/>
      <c r="AI98" s="10"/>
    </row>
    <row r="99" spans="1:35">
      <c r="A99" s="62"/>
      <c r="C99" s="34" t="s">
        <v>3</v>
      </c>
      <c r="D99" s="34" t="s">
        <v>3</v>
      </c>
      <c r="E99" s="34" t="s">
        <v>3</v>
      </c>
      <c r="F99" s="34" t="s">
        <v>3</v>
      </c>
      <c r="G99" s="34" t="s">
        <v>3</v>
      </c>
      <c r="H99" s="34" t="s">
        <v>3</v>
      </c>
      <c r="J99" s="62"/>
      <c r="L99" s="62"/>
      <c r="M99" s="40"/>
      <c r="N99" s="50"/>
      <c r="O99" s="51"/>
      <c r="P99" s="32"/>
      <c r="Q99" s="35">
        <f t="shared" si="84"/>
        <v>-1</v>
      </c>
      <c r="R99" s="14">
        <f t="shared" ref="R99:V103" si="86">IF(D99=".",-1,1)</f>
        <v>-1</v>
      </c>
      <c r="S99" s="14">
        <f t="shared" si="86"/>
        <v>-1</v>
      </c>
      <c r="T99" s="14">
        <f t="shared" si="86"/>
        <v>-1</v>
      </c>
      <c r="U99" s="14">
        <f t="shared" si="86"/>
        <v>-1</v>
      </c>
      <c r="V99" s="14">
        <f t="shared" si="86"/>
        <v>-1</v>
      </c>
      <c r="W99" s="13"/>
      <c r="X99" s="13"/>
      <c r="Y99" s="13"/>
      <c r="AG99" s="10"/>
      <c r="AH99" s="10"/>
      <c r="AI99" s="10"/>
    </row>
    <row r="100" spans="1:35">
      <c r="A100" s="62"/>
      <c r="C100" s="34" t="s">
        <v>3</v>
      </c>
      <c r="D100" s="34" t="s">
        <v>4</v>
      </c>
      <c r="E100" s="34" t="s">
        <v>4</v>
      </c>
      <c r="F100" s="34" t="s">
        <v>4</v>
      </c>
      <c r="G100" s="34" t="s">
        <v>4</v>
      </c>
      <c r="H100" s="34" t="s">
        <v>3</v>
      </c>
      <c r="J100" s="62"/>
      <c r="L100" s="62"/>
      <c r="M100" s="40"/>
      <c r="N100" s="50"/>
      <c r="O100" s="51"/>
      <c r="P100" s="32"/>
      <c r="Q100" s="35">
        <f t="shared" si="84"/>
        <v>-1</v>
      </c>
      <c r="R100" s="14">
        <f t="shared" si="86"/>
        <v>1</v>
      </c>
      <c r="S100" s="14">
        <f t="shared" si="86"/>
        <v>1</v>
      </c>
      <c r="T100" s="14">
        <f t="shared" si="86"/>
        <v>1</v>
      </c>
      <c r="U100" s="14">
        <f t="shared" si="86"/>
        <v>1</v>
      </c>
      <c r="V100" s="14">
        <f t="shared" si="86"/>
        <v>-1</v>
      </c>
      <c r="W100" s="13"/>
      <c r="X100" s="13"/>
      <c r="Y100" s="13"/>
      <c r="AG100" s="10"/>
      <c r="AH100" s="10"/>
      <c r="AI100" s="10"/>
    </row>
    <row r="101" spans="1:35">
      <c r="A101" s="62"/>
      <c r="C101" s="34" t="s">
        <v>3</v>
      </c>
      <c r="D101" s="34" t="s">
        <v>4</v>
      </c>
      <c r="E101" s="34" t="s">
        <v>4</v>
      </c>
      <c r="F101" s="34" t="s">
        <v>4</v>
      </c>
      <c r="G101" s="34" t="s">
        <v>4</v>
      </c>
      <c r="H101" s="34" t="s">
        <v>3</v>
      </c>
      <c r="J101" s="62"/>
      <c r="L101" s="62"/>
      <c r="M101" s="40"/>
      <c r="N101" s="50"/>
      <c r="O101" s="51"/>
      <c r="P101" s="32"/>
      <c r="Q101" s="35">
        <f t="shared" si="84"/>
        <v>-1</v>
      </c>
      <c r="R101" s="14">
        <f t="shared" si="86"/>
        <v>1</v>
      </c>
      <c r="S101" s="14">
        <f t="shared" si="86"/>
        <v>1</v>
      </c>
      <c r="T101" s="14">
        <f t="shared" si="86"/>
        <v>1</v>
      </c>
      <c r="U101" s="14">
        <f t="shared" si="86"/>
        <v>1</v>
      </c>
      <c r="V101" s="14">
        <f t="shared" si="86"/>
        <v>-1</v>
      </c>
      <c r="W101" s="13"/>
      <c r="X101" s="13"/>
      <c r="Y101" s="13"/>
      <c r="AG101" s="10"/>
      <c r="AH101" s="10"/>
      <c r="AI101" s="10"/>
    </row>
    <row r="102" spans="1:35">
      <c r="A102" s="62"/>
      <c r="C102" s="34" t="s">
        <v>3</v>
      </c>
      <c r="D102" s="34" t="s">
        <v>4</v>
      </c>
      <c r="E102" s="34" t="s">
        <v>4</v>
      </c>
      <c r="F102" s="34" t="s">
        <v>4</v>
      </c>
      <c r="G102" s="34" t="s">
        <v>4</v>
      </c>
      <c r="H102" s="34" t="s">
        <v>3</v>
      </c>
      <c r="J102" s="62"/>
      <c r="L102" s="62"/>
      <c r="M102" s="40"/>
      <c r="N102" s="50"/>
      <c r="O102" s="51"/>
      <c r="P102" s="32"/>
      <c r="Q102" s="35">
        <f t="shared" si="84"/>
        <v>-1</v>
      </c>
      <c r="R102" s="14">
        <f t="shared" si="86"/>
        <v>1</v>
      </c>
      <c r="S102" s="14">
        <f t="shared" si="86"/>
        <v>1</v>
      </c>
      <c r="T102" s="14">
        <f t="shared" si="86"/>
        <v>1</v>
      </c>
      <c r="U102" s="14">
        <f t="shared" si="86"/>
        <v>1</v>
      </c>
      <c r="V102" s="14">
        <f t="shared" si="86"/>
        <v>-1</v>
      </c>
      <c r="W102" s="13"/>
      <c r="X102" s="13"/>
      <c r="Y102" s="13"/>
      <c r="AG102" s="10"/>
      <c r="AH102" s="10"/>
      <c r="AI102" s="10"/>
    </row>
    <row r="103" spans="1:35">
      <c r="A103" s="62"/>
      <c r="C103" s="34" t="s">
        <v>3</v>
      </c>
      <c r="D103" s="34" t="s">
        <v>4</v>
      </c>
      <c r="E103" s="34" t="s">
        <v>4</v>
      </c>
      <c r="F103" s="34" t="s">
        <v>4</v>
      </c>
      <c r="G103" s="34" t="s">
        <v>4</v>
      </c>
      <c r="H103" s="34" t="s">
        <v>3</v>
      </c>
      <c r="J103" s="62"/>
      <c r="L103" s="62"/>
      <c r="M103" s="40"/>
      <c r="N103" s="52"/>
      <c r="O103" s="53"/>
      <c r="P103" s="32"/>
      <c r="Q103" s="35">
        <f t="shared" si="84"/>
        <v>-1</v>
      </c>
      <c r="R103" s="14">
        <f t="shared" si="86"/>
        <v>1</v>
      </c>
      <c r="S103" s="14">
        <f t="shared" si="86"/>
        <v>1</v>
      </c>
      <c r="T103" s="14">
        <f t="shared" si="86"/>
        <v>1</v>
      </c>
      <c r="U103" s="14">
        <f t="shared" si="86"/>
        <v>1</v>
      </c>
      <c r="V103" s="14">
        <f t="shared" si="86"/>
        <v>-1</v>
      </c>
      <c r="W103" s="13"/>
      <c r="X103" s="13"/>
      <c r="Y103" s="13"/>
      <c r="AG103" s="10"/>
      <c r="AH103" s="10"/>
      <c r="AI103" s="10"/>
    </row>
    <row r="104" spans="1:35">
      <c r="C104" s="23"/>
      <c r="D104" s="23"/>
      <c r="E104" s="23"/>
      <c r="F104" s="23"/>
      <c r="G104" s="23"/>
      <c r="H104" s="23"/>
      <c r="M104" s="30"/>
      <c r="N104" s="30"/>
      <c r="O104" s="30"/>
      <c r="P104" s="32"/>
      <c r="W104" s="13"/>
      <c r="X104" s="13"/>
      <c r="Y104" s="13"/>
      <c r="AG104" s="10"/>
      <c r="AH104" s="10"/>
      <c r="AI104" s="10"/>
    </row>
    <row r="105" spans="1:35">
      <c r="A105" s="62">
        <v>14</v>
      </c>
      <c r="C105" s="34" t="s">
        <v>4</v>
      </c>
      <c r="D105" s="34" t="s">
        <v>3</v>
      </c>
      <c r="E105" s="34" t="s">
        <v>3</v>
      </c>
      <c r="F105" s="34" t="s">
        <v>3</v>
      </c>
      <c r="G105" s="34" t="s">
        <v>3</v>
      </c>
      <c r="H105" s="34" t="s">
        <v>4</v>
      </c>
      <c r="J105" s="62" t="s">
        <v>6</v>
      </c>
      <c r="L105" s="62" t="s">
        <v>5</v>
      </c>
      <c r="M105" s="40"/>
      <c r="N105" s="48" t="s">
        <v>94</v>
      </c>
      <c r="O105" s="49"/>
      <c r="P105" s="32"/>
      <c r="Q105" s="35">
        <f>IF(C105=".",-1,1)</f>
        <v>1</v>
      </c>
      <c r="R105" s="14">
        <f t="shared" ref="R105:V110" si="87">IF(D105=".",-1,1)</f>
        <v>-1</v>
      </c>
      <c r="S105" s="14">
        <f t="shared" si="87"/>
        <v>-1</v>
      </c>
      <c r="T105" s="14">
        <f t="shared" si="87"/>
        <v>-1</v>
      </c>
      <c r="U105" s="14">
        <f t="shared" si="87"/>
        <v>-1</v>
      </c>
      <c r="V105" s="14">
        <f t="shared" si="87"/>
        <v>1</v>
      </c>
      <c r="W105" s="13"/>
      <c r="X105" s="13"/>
      <c r="Y105" s="13"/>
      <c r="AG105" s="10"/>
      <c r="AH105" s="10"/>
      <c r="AI105" s="10"/>
    </row>
    <row r="106" spans="1:35">
      <c r="A106" s="62"/>
      <c r="C106" s="34" t="s">
        <v>3</v>
      </c>
      <c r="D106" s="34" t="s">
        <v>4</v>
      </c>
      <c r="E106" s="34" t="s">
        <v>4</v>
      </c>
      <c r="F106" s="34" t="s">
        <v>4</v>
      </c>
      <c r="G106" s="34" t="s">
        <v>4</v>
      </c>
      <c r="H106" s="34" t="s">
        <v>3</v>
      </c>
      <c r="J106" s="62"/>
      <c r="L106" s="62"/>
      <c r="M106" s="40"/>
      <c r="N106" s="50"/>
      <c r="O106" s="51"/>
      <c r="P106" s="32"/>
      <c r="Q106" s="35">
        <f t="shared" ref="Q106:Q110" si="88">IF(C106=".",-1,1)</f>
        <v>-1</v>
      </c>
      <c r="R106" s="14">
        <f t="shared" si="87"/>
        <v>1</v>
      </c>
      <c r="S106" s="14">
        <f t="shared" si="87"/>
        <v>1</v>
      </c>
      <c r="T106" s="14">
        <f t="shared" si="87"/>
        <v>1</v>
      </c>
      <c r="U106" s="14">
        <f t="shared" si="87"/>
        <v>1</v>
      </c>
      <c r="V106" s="14">
        <f t="shared" si="87"/>
        <v>-1</v>
      </c>
      <c r="W106" s="13"/>
      <c r="X106" s="13"/>
      <c r="Y106" s="13"/>
      <c r="AG106" s="10"/>
      <c r="AH106" s="10"/>
      <c r="AI106" s="10"/>
    </row>
    <row r="107" spans="1:35">
      <c r="A107" s="62"/>
      <c r="C107" s="34" t="s">
        <v>3</v>
      </c>
      <c r="D107" s="34" t="s">
        <v>4</v>
      </c>
      <c r="E107" s="34" t="s">
        <v>3</v>
      </c>
      <c r="F107" s="34" t="s">
        <v>3</v>
      </c>
      <c r="G107" s="34" t="s">
        <v>4</v>
      </c>
      <c r="H107" s="34" t="s">
        <v>3</v>
      </c>
      <c r="J107" s="62"/>
      <c r="L107" s="62"/>
      <c r="M107" s="40"/>
      <c r="N107" s="50"/>
      <c r="O107" s="51"/>
      <c r="P107" s="32"/>
      <c r="Q107" s="35">
        <f t="shared" si="88"/>
        <v>-1</v>
      </c>
      <c r="R107" s="14">
        <f t="shared" si="87"/>
        <v>1</v>
      </c>
      <c r="S107" s="14">
        <f t="shared" si="87"/>
        <v>-1</v>
      </c>
      <c r="T107" s="14">
        <f t="shared" si="87"/>
        <v>-1</v>
      </c>
      <c r="U107" s="14">
        <f t="shared" si="87"/>
        <v>1</v>
      </c>
      <c r="V107" s="14">
        <f t="shared" si="87"/>
        <v>-1</v>
      </c>
      <c r="W107" s="13"/>
      <c r="X107" s="13"/>
      <c r="Y107" s="13"/>
      <c r="AG107" s="10"/>
      <c r="AH107" s="10"/>
      <c r="AI107" s="10"/>
    </row>
    <row r="108" spans="1:35">
      <c r="A108" s="62"/>
      <c r="C108" s="34" t="s">
        <v>3</v>
      </c>
      <c r="D108" s="34" t="s">
        <v>4</v>
      </c>
      <c r="E108" s="34" t="s">
        <v>3</v>
      </c>
      <c r="F108" s="34" t="s">
        <v>3</v>
      </c>
      <c r="G108" s="34" t="s">
        <v>4</v>
      </c>
      <c r="H108" s="34" t="s">
        <v>3</v>
      </c>
      <c r="J108" s="62"/>
      <c r="L108" s="62"/>
      <c r="M108" s="40"/>
      <c r="N108" s="50"/>
      <c r="O108" s="51"/>
      <c r="P108" s="32"/>
      <c r="Q108" s="35">
        <f t="shared" si="88"/>
        <v>-1</v>
      </c>
      <c r="R108" s="14">
        <f t="shared" si="87"/>
        <v>1</v>
      </c>
      <c r="S108" s="14">
        <f t="shared" si="87"/>
        <v>-1</v>
      </c>
      <c r="T108" s="14">
        <f t="shared" si="87"/>
        <v>-1</v>
      </c>
      <c r="U108" s="14">
        <f t="shared" si="87"/>
        <v>1</v>
      </c>
      <c r="V108" s="14">
        <f t="shared" si="87"/>
        <v>-1</v>
      </c>
      <c r="W108" s="13"/>
      <c r="X108" s="13"/>
      <c r="Y108" s="13"/>
      <c r="AG108" s="10"/>
      <c r="AH108" s="10"/>
      <c r="AI108" s="10"/>
    </row>
    <row r="109" spans="1:35">
      <c r="A109" s="62"/>
      <c r="C109" s="34" t="s">
        <v>3</v>
      </c>
      <c r="D109" s="34" t="s">
        <v>4</v>
      </c>
      <c r="E109" s="34" t="s">
        <v>4</v>
      </c>
      <c r="F109" s="34" t="s">
        <v>4</v>
      </c>
      <c r="G109" s="34" t="s">
        <v>4</v>
      </c>
      <c r="H109" s="34" t="s">
        <v>3</v>
      </c>
      <c r="J109" s="62"/>
      <c r="L109" s="62"/>
      <c r="M109" s="40"/>
      <c r="N109" s="50"/>
      <c r="O109" s="51"/>
      <c r="P109" s="32"/>
      <c r="Q109" s="35">
        <f t="shared" si="88"/>
        <v>-1</v>
      </c>
      <c r="R109" s="14">
        <f t="shared" si="87"/>
        <v>1</v>
      </c>
      <c r="S109" s="14">
        <f t="shared" si="87"/>
        <v>1</v>
      </c>
      <c r="T109" s="14">
        <f t="shared" si="87"/>
        <v>1</v>
      </c>
      <c r="U109" s="14">
        <f t="shared" si="87"/>
        <v>1</v>
      </c>
      <c r="V109" s="14">
        <f t="shared" si="87"/>
        <v>-1</v>
      </c>
      <c r="W109" s="13"/>
      <c r="X109" s="13"/>
      <c r="Y109" s="13"/>
      <c r="AG109" s="10"/>
      <c r="AH109" s="10"/>
      <c r="AI109" s="10"/>
    </row>
    <row r="110" spans="1:35">
      <c r="A110" s="62"/>
      <c r="C110" s="34" t="s">
        <v>4</v>
      </c>
      <c r="D110" s="34" t="s">
        <v>3</v>
      </c>
      <c r="E110" s="34" t="s">
        <v>3</v>
      </c>
      <c r="F110" s="34" t="s">
        <v>3</v>
      </c>
      <c r="G110" s="34" t="s">
        <v>3</v>
      </c>
      <c r="H110" s="34" t="s">
        <v>4</v>
      </c>
      <c r="J110" s="62"/>
      <c r="L110" s="62"/>
      <c r="M110" s="40"/>
      <c r="N110" s="52"/>
      <c r="O110" s="53"/>
      <c r="P110" s="32"/>
      <c r="Q110" s="35">
        <f t="shared" si="88"/>
        <v>1</v>
      </c>
      <c r="R110" s="14">
        <f t="shared" si="87"/>
        <v>-1</v>
      </c>
      <c r="S110" s="14">
        <f t="shared" si="87"/>
        <v>-1</v>
      </c>
      <c r="T110" s="14">
        <f t="shared" si="87"/>
        <v>-1</v>
      </c>
      <c r="U110" s="14">
        <f t="shared" si="87"/>
        <v>-1</v>
      </c>
      <c r="V110" s="14">
        <f t="shared" si="87"/>
        <v>1</v>
      </c>
      <c r="W110" s="13"/>
      <c r="X110" s="13"/>
      <c r="Y110" s="13"/>
      <c r="AG110" s="10"/>
      <c r="AH110" s="10"/>
      <c r="AI110" s="10"/>
    </row>
    <row r="113" spans="1:46" ht="13.5" thickBot="1"/>
    <row r="114" spans="1:46">
      <c r="A114" s="82" t="s">
        <v>93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4"/>
    </row>
    <row r="115" spans="1:46" ht="13.5" thickBot="1">
      <c r="A115" s="85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7"/>
    </row>
    <row r="116" spans="1:46">
      <c r="K116" s="43"/>
      <c r="L116" s="43"/>
      <c r="M116" s="43"/>
    </row>
    <row r="117" spans="1:46">
      <c r="B117" s="33"/>
      <c r="C117" s="78" t="s">
        <v>81</v>
      </c>
      <c r="D117" s="78"/>
      <c r="E117" s="78"/>
      <c r="F117" s="78"/>
      <c r="G117" s="78"/>
      <c r="H117" s="78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</row>
    <row r="118" spans="1:46">
      <c r="C118" s="34" t="s">
        <v>3</v>
      </c>
      <c r="D118" s="34" t="s">
        <v>3</v>
      </c>
      <c r="E118" s="34" t="s">
        <v>3</v>
      </c>
      <c r="F118" s="34" t="s">
        <v>3</v>
      </c>
      <c r="G118" s="34" t="s">
        <v>3</v>
      </c>
      <c r="H118" s="34" t="s">
        <v>3</v>
      </c>
      <c r="J118" s="30"/>
      <c r="K118" s="30"/>
      <c r="L118" s="28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</row>
    <row r="119" spans="1:46">
      <c r="C119" s="34" t="s">
        <v>3</v>
      </c>
      <c r="D119" s="34" t="s">
        <v>3</v>
      </c>
      <c r="E119" s="34" t="s">
        <v>3</v>
      </c>
      <c r="F119" s="34" t="s">
        <v>3</v>
      </c>
      <c r="G119" s="34" t="s">
        <v>3</v>
      </c>
      <c r="H119" s="34" t="s">
        <v>3</v>
      </c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</row>
    <row r="120" spans="1:46">
      <c r="C120" s="34" t="s">
        <v>3</v>
      </c>
      <c r="D120" s="34" t="s">
        <v>4</v>
      </c>
      <c r="E120" s="34" t="s">
        <v>4</v>
      </c>
      <c r="F120" s="34" t="s">
        <v>4</v>
      </c>
      <c r="G120" s="34" t="s">
        <v>4</v>
      </c>
      <c r="H120" s="34" t="s">
        <v>3</v>
      </c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</row>
    <row r="121" spans="1:46">
      <c r="C121" s="34" t="s">
        <v>3</v>
      </c>
      <c r="D121" s="34" t="s">
        <v>4</v>
      </c>
      <c r="E121" s="34" t="s">
        <v>4</v>
      </c>
      <c r="F121" s="34" t="s">
        <v>4</v>
      </c>
      <c r="G121" s="34" t="s">
        <v>4</v>
      </c>
      <c r="H121" s="34" t="s">
        <v>3</v>
      </c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</row>
    <row r="122" spans="1:46">
      <c r="C122" s="34" t="s">
        <v>3</v>
      </c>
      <c r="D122" s="34" t="s">
        <v>4</v>
      </c>
      <c r="E122" s="34" t="s">
        <v>4</v>
      </c>
      <c r="F122" s="34" t="s">
        <v>4</v>
      </c>
      <c r="G122" s="34" t="s">
        <v>4</v>
      </c>
      <c r="H122" s="34" t="s">
        <v>3</v>
      </c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</row>
    <row r="123" spans="1:46">
      <c r="C123" s="34" t="s">
        <v>3</v>
      </c>
      <c r="D123" s="34" t="s">
        <v>4</v>
      </c>
      <c r="E123" s="34" t="s">
        <v>4</v>
      </c>
      <c r="F123" s="34" t="s">
        <v>4</v>
      </c>
      <c r="G123" s="34" t="s">
        <v>4</v>
      </c>
      <c r="H123" s="34" t="s">
        <v>3</v>
      </c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</row>
    <row r="124" spans="1:46" s="30" customFormat="1">
      <c r="B124" s="32"/>
      <c r="C124" s="32"/>
      <c r="D124" s="32"/>
      <c r="E124" s="32"/>
      <c r="F124" s="32"/>
      <c r="G124" s="32"/>
      <c r="H124" s="32"/>
      <c r="I124" s="32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46" s="30" customFormat="1">
      <c r="B125" s="32"/>
      <c r="C125" s="78" t="s">
        <v>82</v>
      </c>
      <c r="D125" s="78"/>
      <c r="E125" s="78"/>
      <c r="F125" s="78"/>
      <c r="G125" s="78"/>
      <c r="H125" s="78"/>
      <c r="I125" s="32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46">
      <c r="C126" s="14">
        <f t="shared" ref="C126:H131" si="89">IF(C118=".",-1,1)</f>
        <v>-1</v>
      </c>
      <c r="D126" s="14">
        <f t="shared" si="89"/>
        <v>-1</v>
      </c>
      <c r="E126" s="14">
        <f t="shared" si="89"/>
        <v>-1</v>
      </c>
      <c r="F126" s="14">
        <f t="shared" si="89"/>
        <v>-1</v>
      </c>
      <c r="G126" s="14">
        <f t="shared" si="89"/>
        <v>-1</v>
      </c>
      <c r="H126" s="14">
        <f t="shared" si="89"/>
        <v>-1</v>
      </c>
    </row>
    <row r="127" spans="1:46">
      <c r="C127" s="14">
        <f t="shared" si="89"/>
        <v>-1</v>
      </c>
      <c r="D127" s="14">
        <f t="shared" si="89"/>
        <v>-1</v>
      </c>
      <c r="E127" s="14">
        <f t="shared" si="89"/>
        <v>-1</v>
      </c>
      <c r="F127" s="14">
        <f t="shared" si="89"/>
        <v>-1</v>
      </c>
      <c r="G127" s="14">
        <f t="shared" si="89"/>
        <v>-1</v>
      </c>
      <c r="H127" s="14">
        <f t="shared" si="89"/>
        <v>-1</v>
      </c>
      <c r="K127" s="13"/>
      <c r="M127" s="13"/>
    </row>
    <row r="128" spans="1:46">
      <c r="C128" s="14">
        <f t="shared" si="89"/>
        <v>-1</v>
      </c>
      <c r="D128" s="14">
        <f t="shared" si="89"/>
        <v>1</v>
      </c>
      <c r="E128" s="14">
        <f t="shared" si="89"/>
        <v>1</v>
      </c>
      <c r="F128" s="14">
        <f t="shared" si="89"/>
        <v>1</v>
      </c>
      <c r="G128" s="14">
        <f t="shared" si="89"/>
        <v>1</v>
      </c>
      <c r="H128" s="14">
        <f t="shared" si="89"/>
        <v>-1</v>
      </c>
      <c r="K128" s="13"/>
      <c r="M128" s="13"/>
    </row>
    <row r="129" spans="1:45">
      <c r="A129" s="23"/>
      <c r="C129" s="14">
        <f t="shared" si="89"/>
        <v>-1</v>
      </c>
      <c r="D129" s="14">
        <f t="shared" si="89"/>
        <v>1</v>
      </c>
      <c r="E129" s="14">
        <f t="shared" si="89"/>
        <v>1</v>
      </c>
      <c r="F129" s="14">
        <f t="shared" si="89"/>
        <v>1</v>
      </c>
      <c r="G129" s="14">
        <f t="shared" si="89"/>
        <v>1</v>
      </c>
      <c r="H129" s="14">
        <f t="shared" si="89"/>
        <v>-1</v>
      </c>
      <c r="K129" s="13"/>
      <c r="M129" s="13"/>
    </row>
    <row r="130" spans="1:45">
      <c r="C130" s="14">
        <f t="shared" si="89"/>
        <v>-1</v>
      </c>
      <c r="D130" s="14">
        <f t="shared" si="89"/>
        <v>1</v>
      </c>
      <c r="E130" s="14">
        <f t="shared" si="89"/>
        <v>1</v>
      </c>
      <c r="F130" s="14">
        <f t="shared" si="89"/>
        <v>1</v>
      </c>
      <c r="G130" s="14">
        <f t="shared" si="89"/>
        <v>1</v>
      </c>
      <c r="H130" s="14">
        <f t="shared" si="89"/>
        <v>-1</v>
      </c>
      <c r="K130" s="13"/>
      <c r="M130" s="13"/>
    </row>
    <row r="131" spans="1:45">
      <c r="C131" s="14">
        <f t="shared" si="89"/>
        <v>-1</v>
      </c>
      <c r="D131" s="14">
        <f t="shared" si="89"/>
        <v>1</v>
      </c>
      <c r="E131" s="14">
        <f t="shared" si="89"/>
        <v>1</v>
      </c>
      <c r="F131" s="14">
        <f t="shared" si="89"/>
        <v>1</v>
      </c>
      <c r="G131" s="14">
        <f t="shared" si="89"/>
        <v>1</v>
      </c>
      <c r="H131" s="14">
        <f t="shared" si="89"/>
        <v>-1</v>
      </c>
      <c r="K131" s="13"/>
      <c r="M131" s="13"/>
    </row>
    <row r="132" spans="1:45">
      <c r="I132" s="13"/>
      <c r="K132" s="13"/>
    </row>
    <row r="133" spans="1:45">
      <c r="C133" s="77" t="s">
        <v>83</v>
      </c>
      <c r="D133" s="77"/>
      <c r="E133" s="77"/>
      <c r="F133" s="77"/>
      <c r="G133" s="77"/>
      <c r="H133" s="77"/>
      <c r="I133" s="13"/>
      <c r="J133" s="14">
        <f t="shared" ref="J133:O133" si="90">C126</f>
        <v>-1</v>
      </c>
      <c r="K133" s="14">
        <f t="shared" si="90"/>
        <v>-1</v>
      </c>
      <c r="L133" s="14">
        <f t="shared" si="90"/>
        <v>-1</v>
      </c>
      <c r="M133" s="14">
        <f t="shared" si="90"/>
        <v>-1</v>
      </c>
      <c r="N133" s="14">
        <f t="shared" si="90"/>
        <v>-1</v>
      </c>
      <c r="O133" s="14">
        <f t="shared" si="90"/>
        <v>-1</v>
      </c>
      <c r="P133" s="14">
        <f t="shared" ref="P133:U133" si="91">C127</f>
        <v>-1</v>
      </c>
      <c r="Q133" s="14">
        <f t="shared" si="91"/>
        <v>-1</v>
      </c>
      <c r="R133" s="14">
        <f t="shared" si="91"/>
        <v>-1</v>
      </c>
      <c r="S133" s="14">
        <f t="shared" si="91"/>
        <v>-1</v>
      </c>
      <c r="T133" s="14">
        <f t="shared" si="91"/>
        <v>-1</v>
      </c>
      <c r="U133" s="14">
        <f t="shared" si="91"/>
        <v>-1</v>
      </c>
      <c r="V133" s="16">
        <f t="shared" ref="V133:AA133" si="92">C128</f>
        <v>-1</v>
      </c>
      <c r="W133" s="16">
        <f t="shared" si="92"/>
        <v>1</v>
      </c>
      <c r="X133" s="16">
        <f t="shared" si="92"/>
        <v>1</v>
      </c>
      <c r="Y133" s="16">
        <f t="shared" si="92"/>
        <v>1</v>
      </c>
      <c r="Z133" s="16">
        <f t="shared" si="92"/>
        <v>1</v>
      </c>
      <c r="AA133" s="16">
        <f t="shared" si="92"/>
        <v>-1</v>
      </c>
      <c r="AB133" s="16">
        <f t="shared" ref="AB133:AG133" si="93">C129</f>
        <v>-1</v>
      </c>
      <c r="AC133" s="16">
        <f t="shared" si="93"/>
        <v>1</v>
      </c>
      <c r="AD133" s="16">
        <f t="shared" si="93"/>
        <v>1</v>
      </c>
      <c r="AE133" s="16">
        <f t="shared" si="93"/>
        <v>1</v>
      </c>
      <c r="AF133" s="16">
        <f t="shared" si="93"/>
        <v>1</v>
      </c>
      <c r="AG133" s="16">
        <f t="shared" si="93"/>
        <v>-1</v>
      </c>
      <c r="AH133" s="16">
        <f t="shared" ref="AH133:AM133" si="94">C130</f>
        <v>-1</v>
      </c>
      <c r="AI133" s="16">
        <f t="shared" si="94"/>
        <v>1</v>
      </c>
      <c r="AJ133" s="16">
        <f t="shared" si="94"/>
        <v>1</v>
      </c>
      <c r="AK133" s="16">
        <f t="shared" si="94"/>
        <v>1</v>
      </c>
      <c r="AL133" s="16">
        <f t="shared" si="94"/>
        <v>1</v>
      </c>
      <c r="AM133" s="16">
        <f t="shared" si="94"/>
        <v>-1</v>
      </c>
      <c r="AN133" s="16">
        <f t="shared" ref="AN133:AS133" si="95">C131</f>
        <v>-1</v>
      </c>
      <c r="AO133" s="16">
        <f t="shared" si="95"/>
        <v>1</v>
      </c>
      <c r="AP133" s="16">
        <f t="shared" si="95"/>
        <v>1</v>
      </c>
      <c r="AQ133" s="16">
        <f t="shared" si="95"/>
        <v>1</v>
      </c>
      <c r="AR133" s="16">
        <f t="shared" si="95"/>
        <v>1</v>
      </c>
      <c r="AS133" s="16">
        <f t="shared" si="95"/>
        <v>-1</v>
      </c>
    </row>
    <row r="134" spans="1:45">
      <c r="I134" s="13"/>
    </row>
    <row r="135" spans="1:45">
      <c r="I135" s="13"/>
    </row>
    <row r="136" spans="1:45">
      <c r="I136" s="13"/>
    </row>
    <row r="137" spans="1:45">
      <c r="I137" s="13"/>
      <c r="J137" s="41" t="s">
        <v>66</v>
      </c>
      <c r="K137" s="45" t="s">
        <v>64</v>
      </c>
      <c r="L137" s="46" t="s">
        <v>73</v>
      </c>
      <c r="M137" s="47" t="s">
        <v>74</v>
      </c>
      <c r="N137" s="46" t="s">
        <v>75</v>
      </c>
      <c r="O137" s="46" t="s">
        <v>76</v>
      </c>
      <c r="P137" s="46" t="s">
        <v>77</v>
      </c>
      <c r="Q137" s="46" t="s">
        <v>78</v>
      </c>
      <c r="R137" s="46" t="s">
        <v>61</v>
      </c>
    </row>
    <row r="138" spans="1:45">
      <c r="J138" s="27" t="s">
        <v>67</v>
      </c>
      <c r="K138" s="37">
        <v>11.364518293172642</v>
      </c>
      <c r="L138" s="24">
        <v>2.3765335891815114</v>
      </c>
      <c r="M138" s="36">
        <v>3.0984878051338822</v>
      </c>
      <c r="N138" s="24">
        <v>2.376513548289259</v>
      </c>
      <c r="O138" s="24">
        <v>12.376349109999524</v>
      </c>
      <c r="P138" s="24">
        <v>5.7622892195252593</v>
      </c>
      <c r="Q138" s="24">
        <v>2.3765270198121637</v>
      </c>
      <c r="R138" s="14">
        <f>1/(1+EXP(-(K138+SUMPRODUCT(L138:Q138,J133:O133))))</f>
        <v>4.1309140573377858E-8</v>
      </c>
    </row>
    <row r="139" spans="1:45">
      <c r="J139" s="27" t="s">
        <v>68</v>
      </c>
      <c r="K139" s="37">
        <v>22.548892717453985</v>
      </c>
      <c r="L139" s="24">
        <v>-9.0817299831523748</v>
      </c>
      <c r="M139" s="36">
        <v>-6.9173401815062681</v>
      </c>
      <c r="N139" s="24">
        <v>-9.6746399525895228</v>
      </c>
      <c r="O139" s="24">
        <v>-4.0496036449419277</v>
      </c>
      <c r="P139" s="24">
        <v>-5.6424855065120552</v>
      </c>
      <c r="Q139" s="24">
        <v>-9.9597209483898776</v>
      </c>
      <c r="R139" s="14">
        <f>1/(1+EXP(-(K139+SUMPRODUCT(L139:Q139,$P$133:$U$133))))</f>
        <v>1</v>
      </c>
    </row>
    <row r="140" spans="1:45">
      <c r="J140" s="27" t="s">
        <v>69</v>
      </c>
      <c r="K140" s="37">
        <v>-4.5516323252971377E-2</v>
      </c>
      <c r="L140" s="24">
        <v>10.619344354897452</v>
      </c>
      <c r="M140" s="36">
        <v>-6.1295611308017044</v>
      </c>
      <c r="N140" s="24">
        <v>4.2282955292278208</v>
      </c>
      <c r="O140" s="24">
        <v>-10.612896034894014</v>
      </c>
      <c r="P140" s="24">
        <v>9.4142516159919829</v>
      </c>
      <c r="Q140" s="24">
        <v>-8.898228848801347</v>
      </c>
      <c r="R140" s="14">
        <f>1/(1+EXP(-(K140+SUMPRODUCT(L140:Q140,$V$133:$AA$133))))</f>
        <v>7.6411107258384688E-3</v>
      </c>
    </row>
    <row r="141" spans="1:45">
      <c r="J141" s="27" t="s">
        <v>70</v>
      </c>
      <c r="K141" s="37">
        <v>-6.6078953034481369</v>
      </c>
      <c r="L141" s="24">
        <v>9.8987658532440967</v>
      </c>
      <c r="M141" s="36">
        <v>-10.36700244379066</v>
      </c>
      <c r="N141" s="24">
        <v>-25.623128434824817</v>
      </c>
      <c r="O141" s="24">
        <v>-25.784709902638568</v>
      </c>
      <c r="P141" s="24">
        <v>-2.3159067388518517</v>
      </c>
      <c r="Q141" s="24">
        <v>-18.583890069077153</v>
      </c>
      <c r="R141" s="14">
        <f>1/(1+EXP(-(K141+SUMPRODUCT(L141:Q141,$AB$133:$AG$133))))</f>
        <v>1.1691522378265518E-27</v>
      </c>
    </row>
    <row r="142" spans="1:45">
      <c r="J142" s="27" t="s">
        <v>71</v>
      </c>
      <c r="K142" s="37">
        <v>0.78884212186854086</v>
      </c>
      <c r="L142" s="24">
        <v>-8.8738229173092602</v>
      </c>
      <c r="M142" s="36">
        <v>-27.481320613218269</v>
      </c>
      <c r="N142" s="24">
        <v>-26.592395687979554</v>
      </c>
      <c r="O142" s="24">
        <v>10.410059471173781</v>
      </c>
      <c r="P142" s="24">
        <v>16.409574805013232</v>
      </c>
      <c r="Q142" s="24">
        <v>-9.4058672040543367</v>
      </c>
      <c r="R142" s="14">
        <f>1/(1+EXP(-(K142+SUMPRODUCT(L142:Q142,$AH$133:$AM$133))))</f>
        <v>2.7857356280209237E-4</v>
      </c>
    </row>
    <row r="143" spans="1:45">
      <c r="J143" s="27" t="s">
        <v>72</v>
      </c>
      <c r="K143" s="37">
        <v>-9.9825853555389141</v>
      </c>
      <c r="L143" s="24">
        <v>0.89561175205554355</v>
      </c>
      <c r="M143" s="36">
        <v>-99</v>
      </c>
      <c r="N143" s="24">
        <v>1.2614440207914024</v>
      </c>
      <c r="O143" s="24">
        <v>1.3057704333197122</v>
      </c>
      <c r="P143" s="24">
        <v>0.44725008222072005</v>
      </c>
      <c r="Q143" s="24">
        <v>-0.45275599952104106</v>
      </c>
      <c r="R143" s="14">
        <f>1/(1+EXP(-(K143+SUMPRODUCT(L143:Q143,$AN$133:$AS$133))))</f>
        <v>6.1136428031022697E-47</v>
      </c>
    </row>
    <row r="144" spans="1:45">
      <c r="K144" s="13"/>
      <c r="L144" s="32"/>
      <c r="M144" s="13"/>
    </row>
    <row r="145" spans="10:18" ht="12.75" customHeight="1">
      <c r="K145" s="13"/>
      <c r="L145" s="32"/>
      <c r="M145" s="13"/>
    </row>
    <row r="146" spans="10:18" ht="12.75" customHeight="1">
      <c r="J146" s="79" t="s">
        <v>79</v>
      </c>
      <c r="K146" s="80"/>
      <c r="L146" s="32"/>
      <c r="M146" s="27" t="s">
        <v>61</v>
      </c>
      <c r="O146" s="27" t="s">
        <v>84</v>
      </c>
    </row>
    <row r="147" spans="10:18">
      <c r="J147" s="14" t="s">
        <v>56</v>
      </c>
      <c r="K147" s="14" t="s">
        <v>47</v>
      </c>
      <c r="L147" s="32"/>
      <c r="M147" s="14">
        <f>1/(1+EXP(-(K148+SUMPRODUCT(K149:K154,$R$138:$R$143))))</f>
        <v>0.99999942726043878</v>
      </c>
      <c r="O147" s="14">
        <f>IF(M147&gt;0.9,1,0)</f>
        <v>1</v>
      </c>
    </row>
    <row r="148" spans="10:18">
      <c r="J148" s="14" t="s">
        <v>48</v>
      </c>
      <c r="K148" s="14">
        <v>-8.5921081109317665</v>
      </c>
      <c r="L148" s="32"/>
      <c r="M148" s="13"/>
    </row>
    <row r="149" spans="10:18">
      <c r="J149" s="14" t="s">
        <v>49</v>
      </c>
      <c r="K149" s="14">
        <v>4.2866106631948737</v>
      </c>
      <c r="L149" s="32"/>
      <c r="M149" s="13"/>
    </row>
    <row r="150" spans="10:18">
      <c r="J150" s="14" t="s">
        <v>50</v>
      </c>
      <c r="K150" s="14">
        <v>23.085265449238886</v>
      </c>
      <c r="L150" s="32"/>
      <c r="M150" s="75" t="s">
        <v>85</v>
      </c>
      <c r="N150" s="75"/>
      <c r="O150" s="76" t="str">
        <f>IF(O147=1,"Yes,there is a square","No squares!!")</f>
        <v>Yes,there is a square</v>
      </c>
      <c r="P150" s="76"/>
      <c r="Q150" s="76"/>
      <c r="R150" s="76"/>
    </row>
    <row r="151" spans="10:18">
      <c r="J151" s="14" t="s">
        <v>51</v>
      </c>
      <c r="K151" s="14">
        <v>-17.148438808881789</v>
      </c>
      <c r="L151" s="32"/>
      <c r="M151" s="75"/>
      <c r="N151" s="75"/>
      <c r="O151" s="76"/>
      <c r="P151" s="76"/>
      <c r="Q151" s="76"/>
      <c r="R151" s="76"/>
    </row>
    <row r="152" spans="10:18">
      <c r="J152" s="14" t="s">
        <v>52</v>
      </c>
      <c r="K152" s="14">
        <v>-89.27671995742925</v>
      </c>
      <c r="L152" s="32"/>
      <c r="M152" s="13"/>
    </row>
    <row r="153" spans="10:18">
      <c r="J153" s="14" t="s">
        <v>53</v>
      </c>
      <c r="K153" s="14">
        <v>38.445045131723127</v>
      </c>
      <c r="L153" s="32"/>
      <c r="M153" s="13"/>
    </row>
    <row r="154" spans="10:18">
      <c r="J154" s="14" t="s">
        <v>54</v>
      </c>
      <c r="K154" s="14">
        <v>-6.1484145974400564</v>
      </c>
      <c r="L154" s="32"/>
      <c r="M154" s="13"/>
    </row>
  </sheetData>
  <mergeCells count="67">
    <mergeCell ref="C117:H117"/>
    <mergeCell ref="J146:K146"/>
    <mergeCell ref="A6:A7"/>
    <mergeCell ref="A5:T5"/>
    <mergeCell ref="A114:T115"/>
    <mergeCell ref="L98:L103"/>
    <mergeCell ref="J105:J110"/>
    <mergeCell ref="L105:L110"/>
    <mergeCell ref="N6:S7"/>
    <mergeCell ref="L6:L7"/>
    <mergeCell ref="J6:J7"/>
    <mergeCell ref="J9:J14"/>
    <mergeCell ref="L9:L14"/>
    <mergeCell ref="A9:A14"/>
    <mergeCell ref="C6:H7"/>
    <mergeCell ref="A84:A89"/>
    <mergeCell ref="M150:N151"/>
    <mergeCell ref="O150:R151"/>
    <mergeCell ref="C133:H133"/>
    <mergeCell ref="C125:H125"/>
    <mergeCell ref="A16:A21"/>
    <mergeCell ref="A23:A28"/>
    <mergeCell ref="A30:A35"/>
    <mergeCell ref="A37:A42"/>
    <mergeCell ref="J16:J21"/>
    <mergeCell ref="L16:L21"/>
    <mergeCell ref="J23:J28"/>
    <mergeCell ref="L23:L28"/>
    <mergeCell ref="J98:J103"/>
    <mergeCell ref="L30:L35"/>
    <mergeCell ref="J37:J42"/>
    <mergeCell ref="L37:L42"/>
    <mergeCell ref="A79:T80"/>
    <mergeCell ref="N84:O89"/>
    <mergeCell ref="N91:O96"/>
    <mergeCell ref="Q82:V83"/>
    <mergeCell ref="A2:U3"/>
    <mergeCell ref="J30:J35"/>
    <mergeCell ref="A44:A49"/>
    <mergeCell ref="A51:A56"/>
    <mergeCell ref="A58:A63"/>
    <mergeCell ref="A65:A70"/>
    <mergeCell ref="A72:A77"/>
    <mergeCell ref="J44:J49"/>
    <mergeCell ref="J51:J56"/>
    <mergeCell ref="J58:J63"/>
    <mergeCell ref="J65:J70"/>
    <mergeCell ref="J72:J77"/>
    <mergeCell ref="L44:L49"/>
    <mergeCell ref="L51:L56"/>
    <mergeCell ref="L58:L63"/>
    <mergeCell ref="L65:L70"/>
    <mergeCell ref="L72:L77"/>
    <mergeCell ref="N98:O103"/>
    <mergeCell ref="N105:O110"/>
    <mergeCell ref="A82:A83"/>
    <mergeCell ref="C82:H83"/>
    <mergeCell ref="J82:J83"/>
    <mergeCell ref="L82:L83"/>
    <mergeCell ref="N82:O83"/>
    <mergeCell ref="A91:A96"/>
    <mergeCell ref="L84:L89"/>
    <mergeCell ref="L91:L96"/>
    <mergeCell ref="A98:A103"/>
    <mergeCell ref="A105:A110"/>
    <mergeCell ref="J84:J89"/>
    <mergeCell ref="J91:J96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AP64"/>
  <sheetViews>
    <sheetView workbookViewId="0">
      <selection activeCell="N24" sqref="N24"/>
    </sheetView>
  </sheetViews>
  <sheetFormatPr defaultColWidth="9" defaultRowHeight="12.75"/>
  <sheetData>
    <row r="2" spans="1:39">
      <c r="A2" s="90" t="s">
        <v>88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2"/>
    </row>
    <row r="3" spans="1:39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5"/>
    </row>
    <row r="5" spans="1:39">
      <c r="A5" s="3"/>
      <c r="B5" s="89" t="s">
        <v>7</v>
      </c>
      <c r="C5" s="89"/>
      <c r="D5" s="89"/>
      <c r="E5" s="6"/>
      <c r="F5" s="6"/>
      <c r="G5" s="7"/>
      <c r="H5" s="7"/>
      <c r="I5" s="7"/>
      <c r="J5" s="7"/>
      <c r="K5" s="7"/>
      <c r="L5" s="7"/>
    </row>
    <row r="6" spans="1:39">
      <c r="A6" s="4"/>
      <c r="B6" s="17" t="s">
        <v>45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  <c r="I6" s="18" t="s">
        <v>14</v>
      </c>
      <c r="J6" s="18" t="s">
        <v>15</v>
      </c>
      <c r="K6" s="18" t="s">
        <v>16</v>
      </c>
      <c r="L6" s="18" t="s">
        <v>17</v>
      </c>
      <c r="M6" s="18" t="s">
        <v>18</v>
      </c>
      <c r="N6" s="18" t="s">
        <v>19</v>
      </c>
      <c r="O6" s="18" t="s">
        <v>20</v>
      </c>
      <c r="P6" s="18" t="s">
        <v>21</v>
      </c>
      <c r="Q6" s="18" t="s">
        <v>22</v>
      </c>
      <c r="R6" s="18" t="s">
        <v>23</v>
      </c>
      <c r="S6" s="18" t="s">
        <v>24</v>
      </c>
      <c r="T6" s="18" t="s">
        <v>25</v>
      </c>
      <c r="U6" s="18" t="s">
        <v>26</v>
      </c>
      <c r="V6" s="18" t="s">
        <v>27</v>
      </c>
      <c r="W6" s="18" t="s">
        <v>28</v>
      </c>
      <c r="X6" s="18" t="s">
        <v>29</v>
      </c>
      <c r="Y6" s="18" t="s">
        <v>30</v>
      </c>
      <c r="Z6" s="18" t="s">
        <v>31</v>
      </c>
      <c r="AA6" s="18" t="s">
        <v>32</v>
      </c>
      <c r="AB6" s="18" t="s">
        <v>33</v>
      </c>
      <c r="AC6" s="18" t="s">
        <v>34</v>
      </c>
      <c r="AD6" s="18" t="s">
        <v>35</v>
      </c>
      <c r="AE6" s="18" t="s">
        <v>36</v>
      </c>
      <c r="AF6" s="18" t="s">
        <v>37</v>
      </c>
      <c r="AG6" s="18" t="s">
        <v>38</v>
      </c>
      <c r="AH6" s="18" t="s">
        <v>39</v>
      </c>
      <c r="AI6" s="18" t="s">
        <v>40</v>
      </c>
      <c r="AJ6" s="18" t="s">
        <v>41</v>
      </c>
      <c r="AK6" s="18" t="s">
        <v>42</v>
      </c>
      <c r="AL6" s="18" t="s">
        <v>43</v>
      </c>
      <c r="AM6" s="18" t="s">
        <v>59</v>
      </c>
    </row>
    <row r="7" spans="1:39">
      <c r="A7" s="1"/>
      <c r="B7" s="14">
        <v>1</v>
      </c>
      <c r="C7" s="14">
        <f>Preprocessing!N$9</f>
        <v>-1</v>
      </c>
      <c r="D7" s="14">
        <f>Preprocessing!O$9</f>
        <v>-1</v>
      </c>
      <c r="E7" s="14">
        <f>Preprocessing!P$9</f>
        <v>-1</v>
      </c>
      <c r="F7" s="14">
        <f>Preprocessing!Q$9</f>
        <v>-1</v>
      </c>
      <c r="G7" s="14">
        <f>Preprocessing!R$9</f>
        <v>-1</v>
      </c>
      <c r="H7" s="14">
        <f>Preprocessing!S$9</f>
        <v>-1</v>
      </c>
      <c r="I7" s="16">
        <f>Preprocessing!N$10</f>
        <v>-1</v>
      </c>
      <c r="J7" s="16">
        <f>Preprocessing!O$10</f>
        <v>1</v>
      </c>
      <c r="K7" s="16">
        <f>Preprocessing!P$10</f>
        <v>1</v>
      </c>
      <c r="L7" s="16">
        <f>Preprocessing!Q$10</f>
        <v>1</v>
      </c>
      <c r="M7" s="16">
        <f>Preprocessing!R$10</f>
        <v>1</v>
      </c>
      <c r="N7" s="16">
        <f>Preprocessing!S$10</f>
        <v>-1</v>
      </c>
      <c r="O7" s="16">
        <f>Preprocessing!N$11</f>
        <v>-1</v>
      </c>
      <c r="P7" s="16">
        <f>Preprocessing!O$11</f>
        <v>1</v>
      </c>
      <c r="Q7" s="16">
        <f>Preprocessing!P$11</f>
        <v>1</v>
      </c>
      <c r="R7" s="16">
        <f>Preprocessing!Q$11</f>
        <v>1</v>
      </c>
      <c r="S7" s="16">
        <f>Preprocessing!R$11</f>
        <v>1</v>
      </c>
      <c r="T7" s="16">
        <f>Preprocessing!S$11</f>
        <v>-1</v>
      </c>
      <c r="U7" s="16">
        <f>Preprocessing!N$12</f>
        <v>-1</v>
      </c>
      <c r="V7" s="16">
        <f>Preprocessing!O$12</f>
        <v>1</v>
      </c>
      <c r="W7" s="16">
        <f>Preprocessing!P$12</f>
        <v>1</v>
      </c>
      <c r="X7" s="16">
        <f>Preprocessing!Q$12</f>
        <v>1</v>
      </c>
      <c r="Y7" s="16">
        <f>Preprocessing!R$12</f>
        <v>1</v>
      </c>
      <c r="Z7" s="16">
        <f>Preprocessing!S$12</f>
        <v>-1</v>
      </c>
      <c r="AA7" s="16">
        <f>Preprocessing!N$13</f>
        <v>-1</v>
      </c>
      <c r="AB7" s="16">
        <f>Preprocessing!O$13</f>
        <v>1</v>
      </c>
      <c r="AC7" s="16">
        <f>Preprocessing!P$13</f>
        <v>1</v>
      </c>
      <c r="AD7" s="16">
        <f>Preprocessing!Q$13</f>
        <v>1</v>
      </c>
      <c r="AE7" s="16">
        <f>Preprocessing!R$13</f>
        <v>1</v>
      </c>
      <c r="AF7" s="16">
        <f>Preprocessing!S$13</f>
        <v>-1</v>
      </c>
      <c r="AG7" s="16">
        <f>Preprocessing!N$14</f>
        <v>-1</v>
      </c>
      <c r="AH7" s="16">
        <f>Preprocessing!O$14</f>
        <v>-1</v>
      </c>
      <c r="AI7" s="16">
        <f>Preprocessing!P$14</f>
        <v>-1</v>
      </c>
      <c r="AJ7" s="16">
        <f>Preprocessing!Q$14</f>
        <v>-1</v>
      </c>
      <c r="AK7" s="16">
        <f>Preprocessing!R$14</f>
        <v>-1</v>
      </c>
      <c r="AL7" s="16">
        <f>Preprocessing!S$14</f>
        <v>-1</v>
      </c>
      <c r="AM7" s="42">
        <v>1</v>
      </c>
    </row>
    <row r="8" spans="1:39">
      <c r="A8" s="1"/>
      <c r="B8" s="14">
        <v>2</v>
      </c>
      <c r="C8" s="16">
        <f>Preprocessing!N16</f>
        <v>-1</v>
      </c>
      <c r="D8" s="16">
        <f>Preprocessing!O16</f>
        <v>-1</v>
      </c>
      <c r="E8" s="16">
        <f>Preprocessing!P16</f>
        <v>-1</v>
      </c>
      <c r="F8" s="16">
        <f>Preprocessing!Q16</f>
        <v>-1</v>
      </c>
      <c r="G8" s="16">
        <f>Preprocessing!R16</f>
        <v>1</v>
      </c>
      <c r="H8" s="16">
        <f>Preprocessing!S16</f>
        <v>-1</v>
      </c>
      <c r="I8" s="16">
        <f>Preprocessing!N17</f>
        <v>-1</v>
      </c>
      <c r="J8" s="16">
        <f>Preprocessing!O17</f>
        <v>1</v>
      </c>
      <c r="K8" s="16">
        <f>Preprocessing!P17</f>
        <v>1</v>
      </c>
      <c r="L8" s="16">
        <f>Preprocessing!Q17</f>
        <v>1</v>
      </c>
      <c r="M8" s="16">
        <f>Preprocessing!R17</f>
        <v>1</v>
      </c>
      <c r="N8" s="16">
        <f>Preprocessing!S17</f>
        <v>1</v>
      </c>
      <c r="O8" s="14">
        <f>Preprocessing!N18</f>
        <v>-1</v>
      </c>
      <c r="P8" s="14">
        <f>Preprocessing!O18</f>
        <v>1</v>
      </c>
      <c r="Q8" s="14">
        <f>Preprocessing!P18</f>
        <v>-1</v>
      </c>
      <c r="R8" s="14">
        <f>Preprocessing!Q18</f>
        <v>-1</v>
      </c>
      <c r="S8" s="14">
        <f>Preprocessing!R18</f>
        <v>-1</v>
      </c>
      <c r="T8" s="14">
        <f>Preprocessing!S18</f>
        <v>1</v>
      </c>
      <c r="U8" s="14">
        <f>Preprocessing!N19</f>
        <v>-1</v>
      </c>
      <c r="V8" s="14">
        <f>Preprocessing!O19</f>
        <v>1</v>
      </c>
      <c r="W8" s="14">
        <f>Preprocessing!P19</f>
        <v>1</v>
      </c>
      <c r="X8" s="14">
        <f>Preprocessing!Q19</f>
        <v>1</v>
      </c>
      <c r="Y8" s="14">
        <f>Preprocessing!R19</f>
        <v>1</v>
      </c>
      <c r="Z8" s="14">
        <f>Preprocessing!S19</f>
        <v>1</v>
      </c>
      <c r="AA8" s="14">
        <f>Preprocessing!N20</f>
        <v>-1</v>
      </c>
      <c r="AB8" s="14">
        <f>Preprocessing!O20</f>
        <v>-1</v>
      </c>
      <c r="AC8" s="14">
        <f>Preprocessing!P20</f>
        <v>1</v>
      </c>
      <c r="AD8" s="14">
        <f>Preprocessing!Q20</f>
        <v>-1</v>
      </c>
      <c r="AE8" s="14">
        <f>Preprocessing!R20</f>
        <v>-1</v>
      </c>
      <c r="AF8" s="14">
        <f>Preprocessing!S20</f>
        <v>-1</v>
      </c>
      <c r="AG8" s="14">
        <f>Preprocessing!N21</f>
        <v>-1</v>
      </c>
      <c r="AH8" s="14">
        <f>Preprocessing!O21</f>
        <v>-1</v>
      </c>
      <c r="AI8" s="42">
        <f>Preprocessing!P21</f>
        <v>-1</v>
      </c>
      <c r="AJ8" s="42">
        <f>Preprocessing!Q21</f>
        <v>-1</v>
      </c>
      <c r="AK8" s="42">
        <f>Preprocessing!R21</f>
        <v>-1</v>
      </c>
      <c r="AL8" s="42">
        <f>Preprocessing!S21</f>
        <v>-1</v>
      </c>
      <c r="AM8" s="42">
        <v>0</v>
      </c>
    </row>
    <row r="9" spans="1:39">
      <c r="A9" s="1"/>
      <c r="B9" s="14">
        <v>3</v>
      </c>
      <c r="C9" s="16">
        <f>Preprocessing!N23</f>
        <v>1</v>
      </c>
      <c r="D9" s="16">
        <f>Preprocessing!O23</f>
        <v>1</v>
      </c>
      <c r="E9" s="16">
        <f>Preprocessing!P23</f>
        <v>1</v>
      </c>
      <c r="F9" s="16">
        <f>Preprocessing!Q23</f>
        <v>1</v>
      </c>
      <c r="G9" s="16">
        <f>Preprocessing!R23</f>
        <v>-1</v>
      </c>
      <c r="H9" s="16">
        <f>Preprocessing!S23</f>
        <v>-1</v>
      </c>
      <c r="I9" s="16">
        <f>Preprocessing!N24</f>
        <v>1</v>
      </c>
      <c r="J9" s="16">
        <f>Preprocessing!O24</f>
        <v>1</v>
      </c>
      <c r="K9" s="16">
        <f>Preprocessing!P24</f>
        <v>1</v>
      </c>
      <c r="L9" s="16">
        <f>Preprocessing!Q24</f>
        <v>1</v>
      </c>
      <c r="M9" s="16">
        <f>Preprocessing!R24</f>
        <v>-1</v>
      </c>
      <c r="N9" s="16">
        <f>Preprocessing!S24</f>
        <v>-1</v>
      </c>
      <c r="O9" s="14">
        <f>Preprocessing!N25</f>
        <v>1</v>
      </c>
      <c r="P9" s="14">
        <f>Preprocessing!O25</f>
        <v>1</v>
      </c>
      <c r="Q9" s="14">
        <f>Preprocessing!P25</f>
        <v>1</v>
      </c>
      <c r="R9" s="14">
        <f>Preprocessing!Q25</f>
        <v>1</v>
      </c>
      <c r="S9" s="14">
        <f>Preprocessing!R25</f>
        <v>-1</v>
      </c>
      <c r="T9" s="14">
        <f>Preprocessing!S25</f>
        <v>-1</v>
      </c>
      <c r="U9" s="14">
        <f>Preprocessing!N26</f>
        <v>1</v>
      </c>
      <c r="V9" s="14">
        <f>Preprocessing!O26</f>
        <v>1</v>
      </c>
      <c r="W9" s="14">
        <f>Preprocessing!P26</f>
        <v>1</v>
      </c>
      <c r="X9" s="14">
        <f>Preprocessing!Q26</f>
        <v>1</v>
      </c>
      <c r="Y9" s="14">
        <f>Preprocessing!R26</f>
        <v>-1</v>
      </c>
      <c r="Z9" s="14">
        <f>Preprocessing!S26</f>
        <v>-1</v>
      </c>
      <c r="AA9" s="14">
        <f>Preprocessing!N27</f>
        <v>-1</v>
      </c>
      <c r="AB9" s="14">
        <f>Preprocessing!O27</f>
        <v>-1</v>
      </c>
      <c r="AC9" s="14">
        <f>Preprocessing!P27</f>
        <v>-1</v>
      </c>
      <c r="AD9" s="14">
        <f>Preprocessing!Q27</f>
        <v>-1</v>
      </c>
      <c r="AE9" s="14">
        <f>Preprocessing!R27</f>
        <v>-1</v>
      </c>
      <c r="AF9" s="14">
        <f>Preprocessing!S27</f>
        <v>-1</v>
      </c>
      <c r="AG9" s="14">
        <f>Preprocessing!N28</f>
        <v>-1</v>
      </c>
      <c r="AH9" s="14">
        <f>Preprocessing!O28</f>
        <v>-1</v>
      </c>
      <c r="AI9" s="42">
        <f>Preprocessing!P28</f>
        <v>-1</v>
      </c>
      <c r="AJ9" s="42">
        <f>Preprocessing!Q28</f>
        <v>-1</v>
      </c>
      <c r="AK9" s="42">
        <f>Preprocessing!R28</f>
        <v>-1</v>
      </c>
      <c r="AL9" s="42">
        <f>Preprocessing!S28</f>
        <v>-1</v>
      </c>
      <c r="AM9" s="42">
        <v>1</v>
      </c>
    </row>
    <row r="10" spans="1:39">
      <c r="A10" s="1"/>
      <c r="B10" s="14">
        <v>4</v>
      </c>
      <c r="C10" s="16">
        <f>Preprocessing!N30</f>
        <v>-1</v>
      </c>
      <c r="D10" s="16">
        <f>Preprocessing!O30</f>
        <v>-1</v>
      </c>
      <c r="E10" s="16">
        <f>Preprocessing!P30</f>
        <v>-1</v>
      </c>
      <c r="F10" s="16">
        <f>Preprocessing!Q30</f>
        <v>-1</v>
      </c>
      <c r="G10" s="16">
        <f>Preprocessing!R30</f>
        <v>-1</v>
      </c>
      <c r="H10" s="16">
        <f>Preprocessing!S30</f>
        <v>-1</v>
      </c>
      <c r="I10" s="16">
        <f>Preprocessing!N31</f>
        <v>1</v>
      </c>
      <c r="J10" s="16">
        <f>Preprocessing!O31</f>
        <v>1</v>
      </c>
      <c r="K10" s="16">
        <f>Preprocessing!P31</f>
        <v>1</v>
      </c>
      <c r="L10" s="16">
        <f>Preprocessing!Q31</f>
        <v>1</v>
      </c>
      <c r="M10" s="16">
        <f>Preprocessing!R31</f>
        <v>1</v>
      </c>
      <c r="N10" s="16">
        <f>Preprocessing!S31</f>
        <v>-1</v>
      </c>
      <c r="O10" s="14">
        <f>Preprocessing!N32</f>
        <v>1</v>
      </c>
      <c r="P10" s="14">
        <f>Preprocessing!O32</f>
        <v>-1</v>
      </c>
      <c r="Q10" s="14">
        <f>Preprocessing!P32</f>
        <v>1</v>
      </c>
      <c r="R10" s="14">
        <f>Preprocessing!Q32</f>
        <v>-1</v>
      </c>
      <c r="S10" s="14">
        <f>Preprocessing!R32</f>
        <v>1</v>
      </c>
      <c r="T10" s="14">
        <f>Preprocessing!S32</f>
        <v>-1</v>
      </c>
      <c r="U10" s="14">
        <f>Preprocessing!N33</f>
        <v>1</v>
      </c>
      <c r="V10" s="14">
        <f>Preprocessing!O33</f>
        <v>-1</v>
      </c>
      <c r="W10" s="14">
        <f>Preprocessing!P33</f>
        <v>1</v>
      </c>
      <c r="X10" s="14">
        <f>Preprocessing!Q33</f>
        <v>-1</v>
      </c>
      <c r="Y10" s="14">
        <f>Preprocessing!R33</f>
        <v>1</v>
      </c>
      <c r="Z10" s="14">
        <f>Preprocessing!S33</f>
        <v>-1</v>
      </c>
      <c r="AA10" s="14">
        <f>Preprocessing!N34</f>
        <v>1</v>
      </c>
      <c r="AB10" s="14">
        <f>Preprocessing!O34</f>
        <v>1</v>
      </c>
      <c r="AC10" s="14">
        <f>Preprocessing!P34</f>
        <v>1</v>
      </c>
      <c r="AD10" s="14">
        <f>Preprocessing!Q34</f>
        <v>1</v>
      </c>
      <c r="AE10" s="14">
        <f>Preprocessing!R34</f>
        <v>1</v>
      </c>
      <c r="AF10" s="14">
        <f>Preprocessing!S34</f>
        <v>-1</v>
      </c>
      <c r="AG10" s="14">
        <f>Preprocessing!N35</f>
        <v>-1</v>
      </c>
      <c r="AH10" s="14">
        <f>Preprocessing!O35</f>
        <v>-1</v>
      </c>
      <c r="AI10" s="42">
        <f>Preprocessing!P35</f>
        <v>-1</v>
      </c>
      <c r="AJ10" s="42">
        <f>Preprocessing!Q35</f>
        <v>-1</v>
      </c>
      <c r="AK10" s="42">
        <f>Preprocessing!R35</f>
        <v>-1</v>
      </c>
      <c r="AL10" s="42">
        <f>Preprocessing!S35</f>
        <v>-1</v>
      </c>
      <c r="AM10" s="42">
        <v>0</v>
      </c>
    </row>
    <row r="11" spans="1:39">
      <c r="A11" s="1"/>
      <c r="B11" s="14">
        <v>5</v>
      </c>
      <c r="C11" s="14">
        <f>Preprocessing!N37</f>
        <v>-1</v>
      </c>
      <c r="D11" s="14">
        <f>Preprocessing!O37</f>
        <v>-1</v>
      </c>
      <c r="E11" s="14">
        <f>Preprocessing!P37</f>
        <v>-1</v>
      </c>
      <c r="F11" s="14">
        <f>Preprocessing!Q37</f>
        <v>-1</v>
      </c>
      <c r="G11" s="14">
        <f>Preprocessing!R37</f>
        <v>-1</v>
      </c>
      <c r="H11" s="14">
        <f>Preprocessing!S37</f>
        <v>-1</v>
      </c>
      <c r="I11" s="16">
        <f>Preprocessing!N38</f>
        <v>-1</v>
      </c>
      <c r="J11" s="16">
        <f>Preprocessing!O38</f>
        <v>-1</v>
      </c>
      <c r="K11" s="16">
        <f>Preprocessing!P38</f>
        <v>-1</v>
      </c>
      <c r="L11" s="16">
        <f>Preprocessing!Q38</f>
        <v>-1</v>
      </c>
      <c r="M11" s="16">
        <f>Preprocessing!R38</f>
        <v>-1</v>
      </c>
      <c r="N11" s="16">
        <f>Preprocessing!S38</f>
        <v>-1</v>
      </c>
      <c r="O11" s="14">
        <f>Preprocessing!N39</f>
        <v>1</v>
      </c>
      <c r="P11" s="14">
        <f>Preprocessing!O39</f>
        <v>1</v>
      </c>
      <c r="Q11" s="14">
        <f>Preprocessing!P39</f>
        <v>1</v>
      </c>
      <c r="R11" s="14">
        <f>Preprocessing!Q39</f>
        <v>1</v>
      </c>
      <c r="S11" s="14">
        <f>Preprocessing!R39</f>
        <v>-1</v>
      </c>
      <c r="T11" s="14">
        <f>Preprocessing!S39</f>
        <v>-1</v>
      </c>
      <c r="U11" s="14">
        <f>Preprocessing!N40</f>
        <v>1</v>
      </c>
      <c r="V11" s="14">
        <f>Preprocessing!O40</f>
        <v>1</v>
      </c>
      <c r="W11" s="14">
        <f>Preprocessing!P40</f>
        <v>1</v>
      </c>
      <c r="X11" s="14">
        <f>Preprocessing!Q40</f>
        <v>1</v>
      </c>
      <c r="Y11" s="14">
        <f>Preprocessing!R40</f>
        <v>-1</v>
      </c>
      <c r="Z11" s="14">
        <f>Preprocessing!S40</f>
        <v>-1</v>
      </c>
      <c r="AA11" s="14">
        <f>Preprocessing!N41</f>
        <v>1</v>
      </c>
      <c r="AB11" s="14">
        <f>Preprocessing!O41</f>
        <v>1</v>
      </c>
      <c r="AC11" s="14">
        <f>Preprocessing!P41</f>
        <v>1</v>
      </c>
      <c r="AD11" s="14">
        <f>Preprocessing!Q41</f>
        <v>1</v>
      </c>
      <c r="AE11" s="14">
        <f>Preprocessing!R41</f>
        <v>-1</v>
      </c>
      <c r="AF11" s="14">
        <f>Preprocessing!S41</f>
        <v>-1</v>
      </c>
      <c r="AG11" s="14">
        <f>Preprocessing!N42</f>
        <v>1</v>
      </c>
      <c r="AH11" s="14">
        <f>Preprocessing!O42</f>
        <v>1</v>
      </c>
      <c r="AI11" s="42">
        <f>Preprocessing!P42</f>
        <v>1</v>
      </c>
      <c r="AJ11" s="42">
        <f>Preprocessing!Q42</f>
        <v>1</v>
      </c>
      <c r="AK11" s="42">
        <f>Preprocessing!R42</f>
        <v>-1</v>
      </c>
      <c r="AL11" s="42">
        <f>Preprocessing!S42</f>
        <v>-1</v>
      </c>
      <c r="AM11" s="42">
        <v>1</v>
      </c>
    </row>
    <row r="12" spans="1:39">
      <c r="A12" s="1"/>
      <c r="B12" s="14">
        <v>6</v>
      </c>
      <c r="C12" s="16">
        <f>Preprocessing!N44</f>
        <v>-1</v>
      </c>
      <c r="D12" s="16">
        <f>Preprocessing!O44</f>
        <v>1</v>
      </c>
      <c r="E12" s="16">
        <f>Preprocessing!P44</f>
        <v>-1</v>
      </c>
      <c r="F12" s="16">
        <f>Preprocessing!Q44</f>
        <v>-1</v>
      </c>
      <c r="G12" s="16">
        <f>Preprocessing!R44</f>
        <v>-1</v>
      </c>
      <c r="H12" s="16">
        <f>Preprocessing!S44</f>
        <v>-1</v>
      </c>
      <c r="I12" s="16">
        <f>Preprocessing!N45</f>
        <v>1</v>
      </c>
      <c r="J12" s="16">
        <f>Preprocessing!O45</f>
        <v>-1</v>
      </c>
      <c r="K12" s="16">
        <f>Preprocessing!P45</f>
        <v>1</v>
      </c>
      <c r="L12" s="16">
        <f>Preprocessing!Q45</f>
        <v>1</v>
      </c>
      <c r="M12" s="16">
        <f>Preprocessing!R45</f>
        <v>1</v>
      </c>
      <c r="N12" s="16">
        <f>Preprocessing!S45</f>
        <v>-1</v>
      </c>
      <c r="O12" s="16">
        <f>Preprocessing!N46</f>
        <v>1</v>
      </c>
      <c r="P12" s="16">
        <f>Preprocessing!O46</f>
        <v>1</v>
      </c>
      <c r="Q12" s="16">
        <f>Preprocessing!P46</f>
        <v>1</v>
      </c>
      <c r="R12" s="16">
        <f>Preprocessing!Q46</f>
        <v>-1</v>
      </c>
      <c r="S12" s="16">
        <f>Preprocessing!R46</f>
        <v>1</v>
      </c>
      <c r="T12" s="16">
        <f>Preprocessing!S46</f>
        <v>-1</v>
      </c>
      <c r="U12" s="16">
        <f>Preprocessing!N47</f>
        <v>1</v>
      </c>
      <c r="V12" s="16">
        <f>Preprocessing!O47</f>
        <v>-1</v>
      </c>
      <c r="W12" s="16">
        <f>Preprocessing!P47</f>
        <v>1</v>
      </c>
      <c r="X12" s="16">
        <f>Preprocessing!Q47</f>
        <v>1</v>
      </c>
      <c r="Y12" s="16">
        <f>Preprocessing!R47</f>
        <v>1</v>
      </c>
      <c r="Z12" s="16">
        <f>Preprocessing!S47</f>
        <v>-1</v>
      </c>
      <c r="AA12" s="16">
        <f>Preprocessing!N48</f>
        <v>1</v>
      </c>
      <c r="AB12" s="16">
        <f>Preprocessing!O48</f>
        <v>1</v>
      </c>
      <c r="AC12" s="16">
        <f>Preprocessing!P48</f>
        <v>1</v>
      </c>
      <c r="AD12" s="16">
        <f>Preprocessing!Q48</f>
        <v>-1</v>
      </c>
      <c r="AE12" s="16">
        <f>Preprocessing!R48</f>
        <v>1</v>
      </c>
      <c r="AF12" s="16">
        <f>Preprocessing!S48</f>
        <v>-1</v>
      </c>
      <c r="AG12" s="16">
        <f>Preprocessing!N49</f>
        <v>-1</v>
      </c>
      <c r="AH12" s="16">
        <f>Preprocessing!O49</f>
        <v>-1</v>
      </c>
      <c r="AI12" s="16">
        <f>Preprocessing!P49</f>
        <v>-1</v>
      </c>
      <c r="AJ12" s="16">
        <f>Preprocessing!Q49</f>
        <v>1</v>
      </c>
      <c r="AK12" s="16">
        <f>Preprocessing!R49</f>
        <v>-1</v>
      </c>
      <c r="AL12" s="16">
        <f>Preprocessing!S49</f>
        <v>-1</v>
      </c>
      <c r="AM12" s="42">
        <v>0</v>
      </c>
    </row>
    <row r="13" spans="1:39">
      <c r="A13" s="1"/>
      <c r="B13" s="14">
        <v>7</v>
      </c>
      <c r="C13" s="16">
        <f>Preprocessing!N51</f>
        <v>-1</v>
      </c>
      <c r="D13" s="16">
        <f>Preprocessing!O51</f>
        <v>-1</v>
      </c>
      <c r="E13" s="16">
        <f>Preprocessing!P51</f>
        <v>-1</v>
      </c>
      <c r="F13" s="16">
        <f>Preprocessing!Q51</f>
        <v>-1</v>
      </c>
      <c r="G13" s="16">
        <f>Preprocessing!R51</f>
        <v>-1</v>
      </c>
      <c r="H13" s="16">
        <f>Preprocessing!S51</f>
        <v>-1</v>
      </c>
      <c r="I13" s="16">
        <f>Preprocessing!N52</f>
        <v>-1</v>
      </c>
      <c r="J13" s="16">
        <f>Preprocessing!O52</f>
        <v>-1</v>
      </c>
      <c r="K13" s="16">
        <f>Preprocessing!P52</f>
        <v>-1</v>
      </c>
      <c r="L13" s="16">
        <f>Preprocessing!Q52</f>
        <v>-1</v>
      </c>
      <c r="M13" s="16">
        <f>Preprocessing!R52</f>
        <v>-1</v>
      </c>
      <c r="N13" s="16">
        <f>Preprocessing!S52</f>
        <v>-1</v>
      </c>
      <c r="O13" s="14">
        <f>Preprocessing!N53</f>
        <v>-1</v>
      </c>
      <c r="P13" s="14">
        <f>Preprocessing!O53</f>
        <v>-1</v>
      </c>
      <c r="Q13" s="14">
        <f>Preprocessing!P53</f>
        <v>1</v>
      </c>
      <c r="R13" s="14">
        <f>Preprocessing!Q53</f>
        <v>1</v>
      </c>
      <c r="S13" s="14">
        <f>Preprocessing!R53</f>
        <v>1</v>
      </c>
      <c r="T13" s="14">
        <f>Preprocessing!S53</f>
        <v>1</v>
      </c>
      <c r="U13" s="14">
        <f>Preprocessing!N54</f>
        <v>-1</v>
      </c>
      <c r="V13" s="14">
        <f>Preprocessing!O54</f>
        <v>-1</v>
      </c>
      <c r="W13" s="14">
        <f>Preprocessing!P54</f>
        <v>1</v>
      </c>
      <c r="X13" s="14">
        <f>Preprocessing!Q54</f>
        <v>1</v>
      </c>
      <c r="Y13" s="14">
        <f>Preprocessing!R54</f>
        <v>1</v>
      </c>
      <c r="Z13" s="14">
        <f>Preprocessing!S54</f>
        <v>1</v>
      </c>
      <c r="AA13" s="14">
        <f>Preprocessing!N55</f>
        <v>-1</v>
      </c>
      <c r="AB13" s="14">
        <f>Preprocessing!O55</f>
        <v>-1</v>
      </c>
      <c r="AC13" s="14">
        <f>Preprocessing!P55</f>
        <v>1</v>
      </c>
      <c r="AD13" s="14">
        <f>Preprocessing!Q55</f>
        <v>1</v>
      </c>
      <c r="AE13" s="14">
        <f>Preprocessing!R55</f>
        <v>1</v>
      </c>
      <c r="AF13" s="14">
        <f>Preprocessing!S55</f>
        <v>1</v>
      </c>
      <c r="AG13" s="14">
        <f>Preprocessing!N56</f>
        <v>-1</v>
      </c>
      <c r="AH13" s="14">
        <f>Preprocessing!O56</f>
        <v>-1</v>
      </c>
      <c r="AI13" s="42">
        <f>Preprocessing!P56</f>
        <v>1</v>
      </c>
      <c r="AJ13" s="42">
        <f>Preprocessing!Q56</f>
        <v>1</v>
      </c>
      <c r="AK13" s="42">
        <f>Preprocessing!R56</f>
        <v>1</v>
      </c>
      <c r="AL13" s="42">
        <f>Preprocessing!S56</f>
        <v>1</v>
      </c>
      <c r="AM13" s="42">
        <v>1</v>
      </c>
    </row>
    <row r="14" spans="1:39">
      <c r="A14" s="1"/>
      <c r="B14" s="14">
        <v>8</v>
      </c>
      <c r="C14" s="16">
        <f>Preprocessing!N58</f>
        <v>-1</v>
      </c>
      <c r="D14" s="16">
        <f>Preprocessing!O58</f>
        <v>-1</v>
      </c>
      <c r="E14" s="16">
        <f>Preprocessing!P58</f>
        <v>-1</v>
      </c>
      <c r="F14" s="16">
        <f>Preprocessing!Q58</f>
        <v>-1</v>
      </c>
      <c r="G14" s="16">
        <f>Preprocessing!R58</f>
        <v>-1</v>
      </c>
      <c r="H14" s="16">
        <f>Preprocessing!S58</f>
        <v>-1</v>
      </c>
      <c r="I14" s="16">
        <f>Preprocessing!N59</f>
        <v>-1</v>
      </c>
      <c r="J14" s="16">
        <f>Preprocessing!O59</f>
        <v>1</v>
      </c>
      <c r="K14" s="16">
        <f>Preprocessing!P59</f>
        <v>1</v>
      </c>
      <c r="L14" s="16">
        <f>Preprocessing!Q59</f>
        <v>1</v>
      </c>
      <c r="M14" s="16">
        <f>Preprocessing!R59</f>
        <v>1</v>
      </c>
      <c r="N14" s="16">
        <f>Preprocessing!S59</f>
        <v>1</v>
      </c>
      <c r="O14" s="14">
        <f>Preprocessing!N60</f>
        <v>-1</v>
      </c>
      <c r="P14" s="14">
        <f>Preprocessing!O60</f>
        <v>1</v>
      </c>
      <c r="Q14" s="14">
        <f>Preprocessing!P60</f>
        <v>-1</v>
      </c>
      <c r="R14" s="14">
        <f>Preprocessing!Q60</f>
        <v>-1</v>
      </c>
      <c r="S14" s="14">
        <f>Preprocessing!R60</f>
        <v>-1</v>
      </c>
      <c r="T14" s="14">
        <f>Preprocessing!S60</f>
        <v>1</v>
      </c>
      <c r="U14" s="14">
        <f>Preprocessing!N61</f>
        <v>-1</v>
      </c>
      <c r="V14" s="14">
        <f>Preprocessing!O61</f>
        <v>1</v>
      </c>
      <c r="W14" s="14">
        <f>Preprocessing!P61</f>
        <v>-1</v>
      </c>
      <c r="X14" s="14">
        <f>Preprocessing!Q61</f>
        <v>1</v>
      </c>
      <c r="Y14" s="14">
        <f>Preprocessing!R61</f>
        <v>-1</v>
      </c>
      <c r="Z14" s="14">
        <f>Preprocessing!S61</f>
        <v>1</v>
      </c>
      <c r="AA14" s="14">
        <f>Preprocessing!N62</f>
        <v>-1</v>
      </c>
      <c r="AB14" s="14">
        <f>Preprocessing!O62</f>
        <v>1</v>
      </c>
      <c r="AC14" s="14">
        <f>Preprocessing!P62</f>
        <v>-1</v>
      </c>
      <c r="AD14" s="14">
        <f>Preprocessing!Q62</f>
        <v>-1</v>
      </c>
      <c r="AE14" s="14">
        <f>Preprocessing!R62</f>
        <v>-1</v>
      </c>
      <c r="AF14" s="14">
        <f>Preprocessing!S62</f>
        <v>1</v>
      </c>
      <c r="AG14" s="14">
        <f>Preprocessing!N63</f>
        <v>-1</v>
      </c>
      <c r="AH14" s="14">
        <f>Preprocessing!O63</f>
        <v>1</v>
      </c>
      <c r="AI14" s="42">
        <f>Preprocessing!P63</f>
        <v>1</v>
      </c>
      <c r="AJ14" s="42">
        <f>Preprocessing!Q63</f>
        <v>1</v>
      </c>
      <c r="AK14" s="42">
        <f>Preprocessing!R63</f>
        <v>1</v>
      </c>
      <c r="AL14" s="42">
        <f>Preprocessing!S63</f>
        <v>1</v>
      </c>
      <c r="AM14" s="42">
        <v>0</v>
      </c>
    </row>
    <row r="15" spans="1:39">
      <c r="A15" s="1"/>
      <c r="B15" s="14">
        <v>9</v>
      </c>
      <c r="C15" s="16">
        <f>Preprocessing!N65</f>
        <v>-1</v>
      </c>
      <c r="D15" s="16">
        <f>Preprocessing!O65</f>
        <v>-1</v>
      </c>
      <c r="E15" s="16">
        <f>Preprocessing!P65</f>
        <v>1</v>
      </c>
      <c r="F15" s="16">
        <f>Preprocessing!Q65</f>
        <v>1</v>
      </c>
      <c r="G15" s="16">
        <f>Preprocessing!R65</f>
        <v>1</v>
      </c>
      <c r="H15" s="16">
        <f>Preprocessing!S65</f>
        <v>1</v>
      </c>
      <c r="I15" s="16">
        <f>Preprocessing!N66</f>
        <v>-1</v>
      </c>
      <c r="J15" s="16">
        <f>Preprocessing!O66</f>
        <v>-1</v>
      </c>
      <c r="K15" s="16">
        <f>Preprocessing!P66</f>
        <v>1</v>
      </c>
      <c r="L15" s="16">
        <f>Preprocessing!Q66</f>
        <v>1</v>
      </c>
      <c r="M15" s="16">
        <f>Preprocessing!R66</f>
        <v>1</v>
      </c>
      <c r="N15" s="16">
        <f>Preprocessing!S66</f>
        <v>1</v>
      </c>
      <c r="O15" s="14">
        <f>Preprocessing!N67</f>
        <v>-1</v>
      </c>
      <c r="P15" s="14">
        <f>Preprocessing!O67</f>
        <v>-1</v>
      </c>
      <c r="Q15" s="14">
        <f>Preprocessing!P67</f>
        <v>1</v>
      </c>
      <c r="R15" s="14">
        <f>Preprocessing!Q67</f>
        <v>1</v>
      </c>
      <c r="S15" s="14">
        <f>Preprocessing!R67</f>
        <v>1</v>
      </c>
      <c r="T15" s="14">
        <f>Preprocessing!S67</f>
        <v>1</v>
      </c>
      <c r="U15" s="14">
        <f>Preprocessing!N68</f>
        <v>-1</v>
      </c>
      <c r="V15" s="14">
        <f>Preprocessing!O68</f>
        <v>-1</v>
      </c>
      <c r="W15" s="14">
        <f>Preprocessing!P68</f>
        <v>1</v>
      </c>
      <c r="X15" s="14">
        <f>Preprocessing!Q68</f>
        <v>1</v>
      </c>
      <c r="Y15" s="14">
        <f>Preprocessing!R68</f>
        <v>1</v>
      </c>
      <c r="Z15" s="14">
        <f>Preprocessing!S68</f>
        <v>1</v>
      </c>
      <c r="AA15" s="14">
        <f>Preprocessing!N69</f>
        <v>-1</v>
      </c>
      <c r="AB15" s="14">
        <f>Preprocessing!O69</f>
        <v>-1</v>
      </c>
      <c r="AC15" s="14">
        <f>Preprocessing!P69</f>
        <v>-1</v>
      </c>
      <c r="AD15" s="14">
        <f>Preprocessing!Q69</f>
        <v>-1</v>
      </c>
      <c r="AE15" s="14">
        <f>Preprocessing!R69</f>
        <v>-1</v>
      </c>
      <c r="AF15" s="14">
        <f>Preprocessing!S69</f>
        <v>-1</v>
      </c>
      <c r="AG15" s="14">
        <f>Preprocessing!N70</f>
        <v>-1</v>
      </c>
      <c r="AH15" s="14">
        <f>Preprocessing!O70</f>
        <v>-1</v>
      </c>
      <c r="AI15" s="42">
        <f>Preprocessing!P70</f>
        <v>-1</v>
      </c>
      <c r="AJ15" s="42">
        <f>Preprocessing!Q70</f>
        <v>-1</v>
      </c>
      <c r="AK15" s="42">
        <f>Preprocessing!R70</f>
        <v>-1</v>
      </c>
      <c r="AL15" s="42">
        <f>Preprocessing!S70</f>
        <v>-1</v>
      </c>
      <c r="AM15" s="42">
        <v>1</v>
      </c>
    </row>
    <row r="16" spans="1:39">
      <c r="A16" s="1"/>
      <c r="B16" s="14">
        <v>10</v>
      </c>
      <c r="C16" s="16">
        <f>Preprocessing!N72</f>
        <v>-1</v>
      </c>
      <c r="D16" s="16">
        <f>Preprocessing!O72</f>
        <v>-1</v>
      </c>
      <c r="E16" s="16">
        <f>Preprocessing!P72</f>
        <v>-1</v>
      </c>
      <c r="F16" s="16">
        <f>Preprocessing!Q72</f>
        <v>1</v>
      </c>
      <c r="G16" s="16">
        <f>Preprocessing!R72</f>
        <v>1</v>
      </c>
      <c r="H16" s="16">
        <f>Preprocessing!S72</f>
        <v>-1</v>
      </c>
      <c r="I16" s="16">
        <f>Preprocessing!N73</f>
        <v>-1</v>
      </c>
      <c r="J16" s="16">
        <f>Preprocessing!O73</f>
        <v>-1</v>
      </c>
      <c r="K16" s="16">
        <f>Preprocessing!P73</f>
        <v>-1</v>
      </c>
      <c r="L16" s="16">
        <f>Preprocessing!Q73</f>
        <v>1</v>
      </c>
      <c r="M16" s="16">
        <f>Preprocessing!R73</f>
        <v>1</v>
      </c>
      <c r="N16" s="16">
        <f>Preprocessing!S73</f>
        <v>-1</v>
      </c>
      <c r="O16" s="14">
        <f>Preprocessing!N74</f>
        <v>1</v>
      </c>
      <c r="P16" s="14">
        <f>Preprocessing!O74</f>
        <v>1</v>
      </c>
      <c r="Q16" s="14">
        <f>Preprocessing!P74</f>
        <v>1</v>
      </c>
      <c r="R16" s="14">
        <f>Preprocessing!Q74</f>
        <v>1</v>
      </c>
      <c r="S16" s="14">
        <f>Preprocessing!R74</f>
        <v>1</v>
      </c>
      <c r="T16" s="14">
        <f>Preprocessing!S74</f>
        <v>-1</v>
      </c>
      <c r="U16" s="14">
        <f>Preprocessing!N75</f>
        <v>1</v>
      </c>
      <c r="V16" s="14">
        <f>Preprocessing!O75</f>
        <v>-1</v>
      </c>
      <c r="W16" s="14">
        <f>Preprocessing!P75</f>
        <v>-1</v>
      </c>
      <c r="X16" s="14">
        <f>Preprocessing!Q75</f>
        <v>-1</v>
      </c>
      <c r="Y16" s="14">
        <f>Preprocessing!R75</f>
        <v>1</v>
      </c>
      <c r="Z16" s="14">
        <f>Preprocessing!S75</f>
        <v>-1</v>
      </c>
      <c r="AA16" s="14">
        <f>Preprocessing!N76</f>
        <v>1</v>
      </c>
      <c r="AB16" s="14">
        <f>Preprocessing!O76</f>
        <v>-1</v>
      </c>
      <c r="AC16" s="14">
        <f>Preprocessing!P76</f>
        <v>-1</v>
      </c>
      <c r="AD16" s="14">
        <f>Preprocessing!Q76</f>
        <v>-1</v>
      </c>
      <c r="AE16" s="14">
        <f>Preprocessing!R76</f>
        <v>1</v>
      </c>
      <c r="AF16" s="14">
        <f>Preprocessing!S76</f>
        <v>-1</v>
      </c>
      <c r="AG16" s="14">
        <f>Preprocessing!N77</f>
        <v>1</v>
      </c>
      <c r="AH16" s="14">
        <f>Preprocessing!O77</f>
        <v>1</v>
      </c>
      <c r="AI16" s="42">
        <f>Preprocessing!P77</f>
        <v>1</v>
      </c>
      <c r="AJ16" s="42">
        <f>Preprocessing!Q77</f>
        <v>1</v>
      </c>
      <c r="AK16" s="42">
        <f>Preprocessing!R77</f>
        <v>1</v>
      </c>
      <c r="AL16" s="42">
        <f>Preprocessing!S77</f>
        <v>-1</v>
      </c>
      <c r="AM16" s="42">
        <v>0</v>
      </c>
    </row>
    <row r="17" spans="1:42">
      <c r="A17" s="1"/>
      <c r="B17" s="1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42" ht="12.75" customHeight="1">
      <c r="A18" s="1"/>
      <c r="B18" s="89" t="s">
        <v>87</v>
      </c>
      <c r="C18" s="89"/>
      <c r="D18" s="89"/>
      <c r="E18" s="89"/>
      <c r="F18" s="5"/>
      <c r="G18" s="5"/>
      <c r="H18" s="5"/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42">
      <c r="A19" s="1"/>
      <c r="B19" s="19" t="s">
        <v>46</v>
      </c>
      <c r="C19" s="20">
        <v>1</v>
      </c>
      <c r="D19" s="20">
        <v>2</v>
      </c>
      <c r="E19" s="20">
        <v>3</v>
      </c>
      <c r="F19" s="20">
        <v>4</v>
      </c>
      <c r="G19" s="20">
        <v>5</v>
      </c>
      <c r="H19" s="20">
        <v>6</v>
      </c>
      <c r="I19" s="20">
        <v>7</v>
      </c>
      <c r="J19" s="20">
        <v>8</v>
      </c>
      <c r="K19" s="20">
        <v>9</v>
      </c>
      <c r="L19" s="20">
        <v>10</v>
      </c>
      <c r="M19" s="19">
        <v>11</v>
      </c>
      <c r="N19" s="19">
        <v>12</v>
      </c>
      <c r="O19" s="19">
        <v>13</v>
      </c>
      <c r="P19" s="20">
        <v>14</v>
      </c>
      <c r="Q19" s="19">
        <v>15</v>
      </c>
      <c r="R19" s="19">
        <v>16</v>
      </c>
      <c r="S19" s="19">
        <v>17</v>
      </c>
      <c r="T19" s="20">
        <v>18</v>
      </c>
      <c r="U19" s="19">
        <v>19</v>
      </c>
      <c r="V19" s="19">
        <v>20</v>
      </c>
      <c r="W19" s="19">
        <v>21</v>
      </c>
      <c r="X19" s="20">
        <v>22</v>
      </c>
      <c r="Y19" s="19">
        <v>23</v>
      </c>
      <c r="Z19" s="19">
        <v>24</v>
      </c>
      <c r="AA19" s="19">
        <v>25</v>
      </c>
      <c r="AB19" s="20">
        <v>26</v>
      </c>
      <c r="AC19" s="19">
        <v>27</v>
      </c>
      <c r="AD19" s="19">
        <v>28</v>
      </c>
      <c r="AE19" s="19">
        <v>29</v>
      </c>
      <c r="AF19" s="20">
        <v>30</v>
      </c>
      <c r="AG19" s="19">
        <v>31</v>
      </c>
      <c r="AH19" s="19">
        <v>32</v>
      </c>
      <c r="AI19" s="19">
        <v>33</v>
      </c>
      <c r="AJ19" s="20">
        <v>34</v>
      </c>
      <c r="AK19" s="19">
        <v>35</v>
      </c>
      <c r="AL19" s="19">
        <v>36</v>
      </c>
    </row>
    <row r="20" spans="1:42">
      <c r="A20" s="1"/>
      <c r="B20" s="27">
        <v>4</v>
      </c>
      <c r="C20" s="16">
        <f t="shared" ref="C20:AL20" si="0">INDEX($C$7:$AL$16,$B$20,C19)</f>
        <v>-1</v>
      </c>
      <c r="D20" s="16">
        <f t="shared" si="0"/>
        <v>-1</v>
      </c>
      <c r="E20" s="16">
        <f t="shared" si="0"/>
        <v>-1</v>
      </c>
      <c r="F20" s="16">
        <f t="shared" si="0"/>
        <v>-1</v>
      </c>
      <c r="G20" s="16">
        <f t="shared" si="0"/>
        <v>-1</v>
      </c>
      <c r="H20" s="16">
        <f t="shared" si="0"/>
        <v>-1</v>
      </c>
      <c r="I20" s="16">
        <f t="shared" si="0"/>
        <v>1</v>
      </c>
      <c r="J20" s="16">
        <f t="shared" si="0"/>
        <v>1</v>
      </c>
      <c r="K20" s="16">
        <f t="shared" si="0"/>
        <v>1</v>
      </c>
      <c r="L20" s="16">
        <f t="shared" si="0"/>
        <v>1</v>
      </c>
      <c r="M20" s="16">
        <f t="shared" si="0"/>
        <v>1</v>
      </c>
      <c r="N20" s="16">
        <f t="shared" si="0"/>
        <v>-1</v>
      </c>
      <c r="O20" s="16">
        <f t="shared" si="0"/>
        <v>1</v>
      </c>
      <c r="P20" s="16">
        <f t="shared" si="0"/>
        <v>-1</v>
      </c>
      <c r="Q20" s="16">
        <f t="shared" si="0"/>
        <v>1</v>
      </c>
      <c r="R20" s="16">
        <f t="shared" si="0"/>
        <v>-1</v>
      </c>
      <c r="S20" s="16">
        <f t="shared" si="0"/>
        <v>1</v>
      </c>
      <c r="T20" s="16">
        <f t="shared" si="0"/>
        <v>-1</v>
      </c>
      <c r="U20" s="16">
        <f t="shared" si="0"/>
        <v>1</v>
      </c>
      <c r="V20" s="16">
        <f t="shared" si="0"/>
        <v>-1</v>
      </c>
      <c r="W20" s="16">
        <f t="shared" si="0"/>
        <v>1</v>
      </c>
      <c r="X20" s="16">
        <f t="shared" si="0"/>
        <v>-1</v>
      </c>
      <c r="Y20" s="16">
        <f t="shared" si="0"/>
        <v>1</v>
      </c>
      <c r="Z20" s="16">
        <f t="shared" si="0"/>
        <v>-1</v>
      </c>
      <c r="AA20" s="16">
        <f t="shared" si="0"/>
        <v>1</v>
      </c>
      <c r="AB20" s="16">
        <f t="shared" si="0"/>
        <v>1</v>
      </c>
      <c r="AC20" s="16">
        <f t="shared" si="0"/>
        <v>1</v>
      </c>
      <c r="AD20" s="16">
        <f t="shared" si="0"/>
        <v>1</v>
      </c>
      <c r="AE20" s="16">
        <f t="shared" si="0"/>
        <v>1</v>
      </c>
      <c r="AF20" s="16">
        <f t="shared" si="0"/>
        <v>-1</v>
      </c>
      <c r="AG20" s="16">
        <f t="shared" si="0"/>
        <v>-1</v>
      </c>
      <c r="AH20" s="16">
        <f t="shared" si="0"/>
        <v>-1</v>
      </c>
      <c r="AI20" s="16">
        <f t="shared" si="0"/>
        <v>-1</v>
      </c>
      <c r="AJ20" s="16">
        <f t="shared" si="0"/>
        <v>-1</v>
      </c>
      <c r="AK20" s="16">
        <f t="shared" si="0"/>
        <v>-1</v>
      </c>
      <c r="AL20" s="16">
        <f t="shared" si="0"/>
        <v>-1</v>
      </c>
    </row>
    <row r="21" spans="1:42">
      <c r="J21" s="7"/>
      <c r="K21" s="7"/>
      <c r="L21" s="7"/>
    </row>
    <row r="22" spans="1:42">
      <c r="J22" s="9"/>
      <c r="K22" s="9"/>
      <c r="L22" s="9"/>
      <c r="M22" s="9"/>
      <c r="N22" s="9"/>
      <c r="O22" s="9"/>
      <c r="P22" s="9"/>
      <c r="Q22" s="9"/>
      <c r="R22" s="9"/>
      <c r="S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6"/>
      <c r="AP22" s="96"/>
    </row>
    <row r="23" spans="1:42" ht="12.75" customHeight="1">
      <c r="B23" s="111" t="s">
        <v>65</v>
      </c>
      <c r="C23" s="111"/>
      <c r="D23" s="111"/>
      <c r="E23" s="111"/>
      <c r="F23" s="111"/>
      <c r="G23" s="111"/>
      <c r="H23" s="111"/>
      <c r="I23" s="111"/>
      <c r="J23" s="111"/>
      <c r="K23" s="11"/>
      <c r="L23" s="11"/>
      <c r="M23" s="11"/>
      <c r="N23" s="11"/>
      <c r="O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2"/>
      <c r="AN23" s="12"/>
      <c r="AO23" s="12"/>
      <c r="AP23" s="12"/>
    </row>
    <row r="24" spans="1:42" ht="12.75" customHeight="1">
      <c r="B24" s="25"/>
      <c r="C24" s="25" t="s">
        <v>64</v>
      </c>
      <c r="D24" s="26" t="s">
        <v>73</v>
      </c>
      <c r="E24" s="26" t="s">
        <v>74</v>
      </c>
      <c r="F24" s="26" t="s">
        <v>75</v>
      </c>
      <c r="G24" s="26" t="s">
        <v>76</v>
      </c>
      <c r="H24" s="26" t="s">
        <v>77</v>
      </c>
      <c r="I24" s="26" t="s">
        <v>78</v>
      </c>
      <c r="J24" s="26" t="s">
        <v>55</v>
      </c>
      <c r="K24" s="11"/>
      <c r="L24" s="11"/>
      <c r="M24" s="11"/>
      <c r="N24" s="11"/>
      <c r="O24" s="11"/>
      <c r="P24" s="109" t="s">
        <v>63</v>
      </c>
      <c r="Q24" s="110"/>
      <c r="R24" s="110"/>
      <c r="S24" s="110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2"/>
      <c r="AN24" s="12"/>
      <c r="AO24" s="12"/>
      <c r="AP24" s="12"/>
    </row>
    <row r="25" spans="1:42" ht="13.5" customHeight="1">
      <c r="B25" s="14" t="s">
        <v>67</v>
      </c>
      <c r="C25" s="24">
        <v>11.364518293172642</v>
      </c>
      <c r="D25" s="24">
        <v>2.3765335891815114</v>
      </c>
      <c r="E25" s="24">
        <v>3.0984878051338822</v>
      </c>
      <c r="F25" s="24">
        <v>2.376513548289259</v>
      </c>
      <c r="G25" s="24">
        <v>12.376349109999524</v>
      </c>
      <c r="H25" s="24">
        <v>5.7622892195252593</v>
      </c>
      <c r="I25" s="24">
        <v>2.3765270198121637</v>
      </c>
      <c r="J25" s="15">
        <f>1/(1+EXP(-(C25+SUMPRODUCT(D25:I25,$C$20:$H$20))))</f>
        <v>4.1309140573377858E-8</v>
      </c>
      <c r="K25" s="13"/>
      <c r="L25" s="13"/>
      <c r="P25" s="19" t="s">
        <v>57</v>
      </c>
      <c r="Q25" s="14" t="s">
        <v>55</v>
      </c>
      <c r="R25" s="15" t="s">
        <v>58</v>
      </c>
      <c r="S25" s="15" t="s">
        <v>60</v>
      </c>
      <c r="AM25" s="12"/>
    </row>
    <row r="26" spans="1:42">
      <c r="B26" s="14" t="s">
        <v>68</v>
      </c>
      <c r="C26" s="24">
        <v>22.548892717453985</v>
      </c>
      <c r="D26" s="24">
        <v>-9.0817299831523748</v>
      </c>
      <c r="E26" s="24">
        <v>-6.9173401815062681</v>
      </c>
      <c r="F26" s="24">
        <v>-9.6746399525895228</v>
      </c>
      <c r="G26" s="24">
        <v>-4.0496036449419277</v>
      </c>
      <c r="H26" s="24">
        <v>-5.6424855065120552</v>
      </c>
      <c r="I26" s="24">
        <v>-9.9597209483898776</v>
      </c>
      <c r="J26" s="15">
        <f>1/(1+EXP(-(C26+SUMPRODUCT(D26:I26,$I$20:$N$20))))</f>
        <v>5.4311070611956114E-2</v>
      </c>
      <c r="K26" s="10"/>
      <c r="L26" s="10"/>
      <c r="P26" s="19">
        <v>1</v>
      </c>
      <c r="Q26" s="16">
        <f>E40</f>
        <v>8.3738530008101004E-53</v>
      </c>
      <c r="R26" s="15">
        <f>I40</f>
        <v>0</v>
      </c>
      <c r="S26" s="15">
        <f t="shared" ref="S26:S35" si="1">IFERROR((Q26-R26)^2,9999999)</f>
        <v>7.0121414079176317E-105</v>
      </c>
    </row>
    <row r="27" spans="1:42">
      <c r="B27" s="14" t="s">
        <v>69</v>
      </c>
      <c r="C27" s="24">
        <v>-4.5516323252971377E-2</v>
      </c>
      <c r="D27" s="24">
        <v>10.619344354897452</v>
      </c>
      <c r="E27" s="24">
        <v>-6.1295611308017044</v>
      </c>
      <c r="F27" s="24">
        <v>4.2282955292278208</v>
      </c>
      <c r="G27" s="24">
        <v>-10.612896034894014</v>
      </c>
      <c r="H27" s="24">
        <v>9.4142516159919829</v>
      </c>
      <c r="I27" s="24">
        <v>-8.898228848801347</v>
      </c>
      <c r="J27" s="15">
        <f>1/(1+EXP(-(C27+SUMPRODUCT(D27:I27,$O$20:$T$20))))</f>
        <v>1</v>
      </c>
      <c r="K27" s="10"/>
      <c r="L27" s="10"/>
      <c r="P27" s="19">
        <v>2</v>
      </c>
      <c r="Q27" s="14">
        <f t="dataTable" ref="Q27:R35" dt2D="0" dtr="0" r1="B20"/>
        <v>5.2718061801356577E-7</v>
      </c>
      <c r="R27" s="16">
        <v>0</v>
      </c>
      <c r="S27" s="15">
        <f t="shared" si="1"/>
        <v>2.7791940400916515E-13</v>
      </c>
    </row>
    <row r="28" spans="1:42">
      <c r="B28" s="14" t="s">
        <v>70</v>
      </c>
      <c r="C28" s="24">
        <v>-6.6078953034481369</v>
      </c>
      <c r="D28" s="24">
        <v>9.8987658532440967</v>
      </c>
      <c r="E28" s="24">
        <v>-10.36700244379066</v>
      </c>
      <c r="F28" s="24">
        <v>-25.623128434824817</v>
      </c>
      <c r="G28" s="24">
        <v>-25.784709902638568</v>
      </c>
      <c r="H28" s="24">
        <v>-2.3159067388518517</v>
      </c>
      <c r="I28" s="24">
        <v>-18.583890069077153</v>
      </c>
      <c r="J28" s="15">
        <f>1/(1+EXP(-(C28+SUMPRODUCT(D28:I28,$U$20:$Z$20))))</f>
        <v>0.99999999999991429</v>
      </c>
      <c r="K28" s="10"/>
      <c r="L28" s="10"/>
      <c r="P28" s="19">
        <v>3</v>
      </c>
      <c r="Q28" s="14">
        <v>1</v>
      </c>
      <c r="R28" s="16">
        <v>1</v>
      </c>
      <c r="S28" s="15">
        <f t="shared" si="1"/>
        <v>0</v>
      </c>
    </row>
    <row r="29" spans="1:42">
      <c r="A29" s="1"/>
      <c r="B29" s="14" t="s">
        <v>71</v>
      </c>
      <c r="C29" s="24">
        <v>0.78884212186854086</v>
      </c>
      <c r="D29" s="24">
        <v>-8.8738229173092602</v>
      </c>
      <c r="E29" s="24">
        <v>-27.481320613218269</v>
      </c>
      <c r="F29" s="24">
        <v>-26.592395687979554</v>
      </c>
      <c r="G29" s="24">
        <v>10.410059471173781</v>
      </c>
      <c r="H29" s="24">
        <v>16.409574805013232</v>
      </c>
      <c r="I29" s="24">
        <v>-9.4058672040543367</v>
      </c>
      <c r="J29" s="15">
        <f>1/(1+EXP(-(C29+SUMPRODUCT(D29:I29,$AA$20:$AF$20))))</f>
        <v>5.4620572228028127E-12</v>
      </c>
      <c r="K29" s="10"/>
      <c r="L29" s="10"/>
      <c r="P29" s="19">
        <v>4</v>
      </c>
      <c r="Q29" s="14">
        <v>8.3738530008101004E-53</v>
      </c>
      <c r="R29" s="16">
        <v>0</v>
      </c>
      <c r="S29" s="15">
        <f t="shared" si="1"/>
        <v>7.0121414079176317E-105</v>
      </c>
    </row>
    <row r="30" spans="1:42">
      <c r="A30" s="1"/>
      <c r="B30" s="14" t="s">
        <v>72</v>
      </c>
      <c r="C30" s="24">
        <v>-9.9825853555389141</v>
      </c>
      <c r="D30" s="24">
        <v>0.89561175205554355</v>
      </c>
      <c r="E30" s="24">
        <v>-99</v>
      </c>
      <c r="F30" s="24">
        <v>1.2614440207914024</v>
      </c>
      <c r="G30" s="24">
        <v>1.3057704333197122</v>
      </c>
      <c r="H30" s="24">
        <v>0.44725008222072005</v>
      </c>
      <c r="I30" s="24">
        <v>-0.45275599952104106</v>
      </c>
      <c r="J30" s="15">
        <f>1/(1+EXP(-(C30+SUMPRODUCT(D30:I30,$AG$20:$AL$20))))</f>
        <v>1</v>
      </c>
      <c r="K30" s="10"/>
      <c r="L30" s="10"/>
      <c r="P30" s="19">
        <v>5</v>
      </c>
      <c r="Q30" s="14">
        <v>0.99999803272692345</v>
      </c>
      <c r="R30" s="16">
        <v>1</v>
      </c>
      <c r="S30" s="15">
        <f t="shared" si="1"/>
        <v>3.8701633577302186E-12</v>
      </c>
    </row>
    <row r="31" spans="1:42">
      <c r="A31" s="1"/>
      <c r="B31" s="11"/>
      <c r="C31" s="11"/>
      <c r="D31" s="11"/>
      <c r="E31" s="11"/>
      <c r="F31" s="10"/>
      <c r="G31" s="10"/>
      <c r="H31" s="10"/>
      <c r="I31" s="10"/>
      <c r="J31" s="10"/>
      <c r="K31" s="10"/>
      <c r="L31" s="10"/>
      <c r="P31" s="19">
        <v>6</v>
      </c>
      <c r="Q31" s="14">
        <v>1.5010829277221783E-4</v>
      </c>
      <c r="R31" s="16">
        <v>0</v>
      </c>
      <c r="S31" s="15">
        <f t="shared" si="1"/>
        <v>2.2532499558989861E-8</v>
      </c>
    </row>
    <row r="32" spans="1:42">
      <c r="B32" s="13"/>
      <c r="C32" s="13"/>
      <c r="D32" s="13"/>
      <c r="E32" s="13"/>
      <c r="F32" s="13"/>
      <c r="G32" s="13"/>
      <c r="H32" s="13"/>
      <c r="I32" s="13"/>
      <c r="J32" s="13"/>
      <c r="K32" s="10"/>
      <c r="L32" s="10"/>
      <c r="P32" s="19">
        <v>7</v>
      </c>
      <c r="Q32" s="14">
        <v>1</v>
      </c>
      <c r="R32" s="16">
        <v>1</v>
      </c>
      <c r="S32" s="15">
        <f t="shared" si="1"/>
        <v>0</v>
      </c>
    </row>
    <row r="33" spans="1:19" ht="14.25" customHeight="1">
      <c r="B33" s="114" t="s">
        <v>79</v>
      </c>
      <c r="C33" s="114"/>
      <c r="D33" s="13"/>
      <c r="E33" s="13"/>
      <c r="F33" s="13"/>
      <c r="G33" s="13"/>
      <c r="H33" s="13"/>
      <c r="I33" s="13"/>
      <c r="J33" s="13"/>
      <c r="K33" s="13"/>
      <c r="L33" s="10"/>
      <c r="P33" s="19">
        <v>8</v>
      </c>
      <c r="Q33" s="14">
        <v>2.3274282372173232E-4</v>
      </c>
      <c r="R33" s="16">
        <v>0</v>
      </c>
      <c r="S33" s="15">
        <f t="shared" si="1"/>
        <v>5.4169221993965365E-8</v>
      </c>
    </row>
    <row r="34" spans="1:19">
      <c r="B34" s="27" t="s">
        <v>56</v>
      </c>
      <c r="C34" s="14" t="s">
        <v>47</v>
      </c>
      <c r="D34" s="13"/>
      <c r="E34" s="13"/>
      <c r="F34" s="14"/>
      <c r="G34" s="13"/>
      <c r="H34" s="13"/>
      <c r="I34" s="13"/>
      <c r="J34" s="13"/>
      <c r="K34" s="13"/>
      <c r="L34" s="10"/>
      <c r="P34" s="19">
        <v>9</v>
      </c>
      <c r="Q34" s="14">
        <v>1</v>
      </c>
      <c r="R34" s="16">
        <v>1</v>
      </c>
      <c r="S34" s="15">
        <f t="shared" si="1"/>
        <v>0</v>
      </c>
    </row>
    <row r="35" spans="1:19" ht="13.5" thickBot="1">
      <c r="B35" s="27" t="s">
        <v>48</v>
      </c>
      <c r="C35" s="14">
        <v>-8.5921081109317665</v>
      </c>
      <c r="D35" s="13"/>
      <c r="E35" s="13"/>
      <c r="F35" s="13"/>
      <c r="G35" s="13"/>
      <c r="H35" s="13"/>
      <c r="I35" s="13"/>
      <c r="J35" s="13"/>
      <c r="K35" s="13"/>
      <c r="L35" s="10"/>
      <c r="P35" s="19">
        <v>10</v>
      </c>
      <c r="Q35" s="14">
        <v>4.2910339790826794E-22</v>
      </c>
      <c r="R35" s="16">
        <v>0</v>
      </c>
      <c r="S35" s="21">
        <f t="shared" si="1"/>
        <v>1.8412972609642133E-43</v>
      </c>
    </row>
    <row r="36" spans="1:19" ht="13.5" thickBot="1">
      <c r="B36" s="27" t="s">
        <v>49</v>
      </c>
      <c r="C36" s="14">
        <v>4.2866106631948737</v>
      </c>
      <c r="D36" s="13"/>
      <c r="E36" s="13"/>
      <c r="F36" s="13"/>
      <c r="G36" s="11"/>
      <c r="H36" s="10"/>
      <c r="I36" s="10"/>
      <c r="J36" s="10"/>
      <c r="K36" s="10"/>
      <c r="L36" s="10"/>
      <c r="P36" s="112" t="s">
        <v>80</v>
      </c>
      <c r="Q36" s="112"/>
      <c r="R36" s="113"/>
      <c r="S36" s="22">
        <f>SUM(S26:S35)</f>
        <v>7.6705869635716968E-8</v>
      </c>
    </row>
    <row r="37" spans="1:19">
      <c r="B37" s="27" t="s">
        <v>50</v>
      </c>
      <c r="C37" s="14">
        <v>23.085265449238886</v>
      </c>
      <c r="D37" s="13"/>
      <c r="E37" s="13"/>
      <c r="F37" s="13"/>
      <c r="G37" s="11"/>
      <c r="H37" s="10"/>
      <c r="I37" s="10"/>
      <c r="J37" s="10"/>
      <c r="K37" s="10"/>
      <c r="L37" s="10"/>
    </row>
    <row r="38" spans="1:19" ht="13.5" thickBot="1">
      <c r="B38" s="27" t="s">
        <v>51</v>
      </c>
      <c r="C38" s="14">
        <v>-17.148438808881789</v>
      </c>
      <c r="D38" s="13"/>
      <c r="E38" s="13"/>
      <c r="F38" s="13"/>
      <c r="G38" s="10"/>
      <c r="H38" s="10"/>
      <c r="I38" s="10"/>
      <c r="J38" s="10"/>
      <c r="K38" s="10"/>
      <c r="L38" s="10"/>
    </row>
    <row r="39" spans="1:19" ht="16.5" thickBot="1">
      <c r="B39" s="27" t="s">
        <v>52</v>
      </c>
      <c r="C39" s="14">
        <v>-89.27671995742925</v>
      </c>
      <c r="D39" s="13"/>
      <c r="E39" s="97" t="s">
        <v>61</v>
      </c>
      <c r="F39" s="98"/>
      <c r="G39" s="98"/>
      <c r="H39" s="99"/>
      <c r="I39" s="104" t="s">
        <v>62</v>
      </c>
      <c r="J39" s="105"/>
      <c r="K39" s="105"/>
      <c r="L39" s="106"/>
    </row>
    <row r="40" spans="1:19">
      <c r="B40" s="27" t="s">
        <v>53</v>
      </c>
      <c r="C40" s="14">
        <v>38.445045131723127</v>
      </c>
      <c r="D40" s="13"/>
      <c r="E40" s="100">
        <f>1/(1+EXP(-(C35+SUMPRODUCT(C36:C41,$J$25:$J$30))))</f>
        <v>8.3738530008101004E-53</v>
      </c>
      <c r="F40" s="100"/>
      <c r="G40" s="100"/>
      <c r="H40" s="101"/>
      <c r="I40" s="107">
        <f>INDEX(AM7:$AM$16,B20,1)</f>
        <v>0</v>
      </c>
      <c r="J40" s="100"/>
      <c r="K40" s="100"/>
      <c r="L40" s="101"/>
    </row>
    <row r="41" spans="1:19" ht="13.5" thickBot="1">
      <c r="B41" s="27" t="s">
        <v>54</v>
      </c>
      <c r="C41" s="14">
        <v>-6.1484145974400564</v>
      </c>
      <c r="D41" s="10"/>
      <c r="E41" s="102"/>
      <c r="F41" s="102"/>
      <c r="G41" s="102"/>
      <c r="H41" s="103"/>
      <c r="I41" s="108"/>
      <c r="J41" s="102"/>
      <c r="K41" s="102"/>
      <c r="L41" s="103"/>
    </row>
    <row r="42" spans="1:19">
      <c r="A42" s="8"/>
      <c r="B42" s="13"/>
      <c r="C42" s="13"/>
      <c r="D42" s="13"/>
      <c r="E42" s="13"/>
      <c r="F42" s="13"/>
      <c r="G42" s="10"/>
      <c r="H42" s="10"/>
      <c r="I42" s="10"/>
      <c r="J42" s="10"/>
      <c r="K42" s="10"/>
      <c r="L42" s="10"/>
    </row>
    <row r="43" spans="1:19">
      <c r="B43" s="13"/>
      <c r="C43" s="13"/>
      <c r="D43" s="13"/>
      <c r="E43" s="10"/>
      <c r="F43" s="10"/>
      <c r="G43" s="10"/>
      <c r="H43" s="10"/>
      <c r="I43" s="10"/>
      <c r="J43" s="10"/>
      <c r="K43" s="10"/>
      <c r="L43" s="10"/>
    </row>
    <row r="44" spans="1:19">
      <c r="B44" s="13"/>
      <c r="C44" s="13"/>
      <c r="D44" s="13"/>
      <c r="E44" s="11"/>
      <c r="F44" s="10"/>
      <c r="G44" s="10"/>
      <c r="H44" s="10"/>
      <c r="I44" s="10"/>
      <c r="J44" s="10"/>
      <c r="K44" s="10"/>
      <c r="L44" s="10"/>
    </row>
    <row r="45" spans="1:19">
      <c r="B45" s="13"/>
      <c r="C45" s="13"/>
      <c r="D45" s="13"/>
      <c r="E45" s="11"/>
      <c r="F45" s="10"/>
      <c r="G45" s="10"/>
      <c r="H45" s="10"/>
      <c r="I45" s="10"/>
      <c r="J45" s="10"/>
      <c r="K45" s="10"/>
      <c r="L45" s="10"/>
    </row>
    <row r="46" spans="1:19">
      <c r="B46" s="13"/>
      <c r="C46" s="13"/>
      <c r="D46" s="13"/>
      <c r="E46" s="11"/>
      <c r="F46" s="10"/>
      <c r="G46" s="10"/>
      <c r="H46" s="10"/>
      <c r="I46" s="10"/>
      <c r="J46" s="10"/>
      <c r="K46" s="10"/>
      <c r="L46" s="10"/>
    </row>
    <row r="47" spans="1:19">
      <c r="B47" s="13"/>
      <c r="C47" s="13"/>
      <c r="D47" s="13"/>
      <c r="E47" s="11"/>
      <c r="F47" s="10"/>
      <c r="G47" s="10"/>
      <c r="H47" s="10"/>
      <c r="I47" s="10"/>
      <c r="J47" s="10"/>
      <c r="K47" s="10"/>
      <c r="L47" s="10"/>
    </row>
    <row r="48" spans="1:19">
      <c r="E48" s="12"/>
      <c r="F48" s="5"/>
      <c r="G48" s="7"/>
      <c r="H48" s="7"/>
      <c r="I48" s="7"/>
      <c r="J48" s="7"/>
      <c r="K48" s="7"/>
      <c r="L48" s="7"/>
    </row>
    <row r="49" spans="1:12">
      <c r="E49" s="7"/>
      <c r="F49" s="5"/>
      <c r="G49" s="7"/>
      <c r="H49" s="7"/>
      <c r="I49" s="7"/>
      <c r="J49" s="7"/>
      <c r="K49" s="7"/>
      <c r="L49" s="7"/>
    </row>
    <row r="50" spans="1:12">
      <c r="E50" s="7"/>
      <c r="F50" s="5"/>
      <c r="G50" s="7"/>
      <c r="H50" s="7"/>
      <c r="I50" s="7"/>
      <c r="J50" s="7"/>
      <c r="K50" s="7"/>
      <c r="L50" s="7"/>
    </row>
    <row r="51" spans="1:12">
      <c r="E51" s="12"/>
      <c r="F51" s="5"/>
      <c r="G51" s="7"/>
      <c r="H51" s="7"/>
      <c r="I51" s="7"/>
      <c r="J51" s="7"/>
      <c r="K51" s="7"/>
      <c r="L51" s="7"/>
    </row>
    <row r="52" spans="1:12">
      <c r="E52" s="7"/>
      <c r="F52" s="5"/>
      <c r="G52" s="7"/>
      <c r="H52" s="7"/>
      <c r="I52" s="7"/>
      <c r="J52" s="7"/>
      <c r="K52" s="7"/>
      <c r="L52" s="7"/>
    </row>
    <row r="53" spans="1:12">
      <c r="E53" s="7"/>
      <c r="F53" s="5"/>
      <c r="G53" s="7"/>
      <c r="H53" s="7"/>
      <c r="I53" s="7"/>
      <c r="J53" s="7"/>
      <c r="K53" s="7"/>
      <c r="L53" s="7"/>
    </row>
    <row r="54" spans="1:12">
      <c r="E54" s="7"/>
      <c r="F54" s="5"/>
      <c r="G54" s="7"/>
      <c r="H54" s="7"/>
      <c r="I54" s="7"/>
      <c r="J54" s="7"/>
      <c r="K54" s="7"/>
      <c r="L54" s="7"/>
    </row>
    <row r="55" spans="1:12">
      <c r="E55" s="7"/>
      <c r="F55" s="5"/>
      <c r="G55" s="7"/>
      <c r="H55" s="7"/>
      <c r="I55" s="7"/>
      <c r="J55" s="7"/>
      <c r="K55" s="7"/>
      <c r="L55" s="7"/>
    </row>
    <row r="56" spans="1:12">
      <c r="E56" s="7"/>
      <c r="F56" s="5"/>
      <c r="G56" s="7"/>
      <c r="H56" s="7"/>
      <c r="I56" s="7"/>
      <c r="J56" s="7"/>
      <c r="K56" s="7"/>
      <c r="L56" s="7"/>
    </row>
    <row r="57" spans="1:12">
      <c r="E57" s="7"/>
      <c r="F57" s="5"/>
      <c r="G57" s="7"/>
      <c r="H57" s="7"/>
      <c r="I57" s="7"/>
      <c r="J57" s="7"/>
      <c r="K57" s="7"/>
      <c r="L57" s="7"/>
    </row>
    <row r="58" spans="1:12">
      <c r="E58" s="7"/>
      <c r="F58" s="5"/>
      <c r="G58" s="7"/>
      <c r="H58" s="7"/>
      <c r="I58" s="7"/>
      <c r="J58" s="7"/>
      <c r="K58" s="7"/>
      <c r="L58" s="7"/>
    </row>
    <row r="59" spans="1:12">
      <c r="E59" s="7"/>
      <c r="F59" s="5"/>
      <c r="G59" s="7"/>
      <c r="H59" s="7"/>
      <c r="I59" s="7"/>
      <c r="J59" s="7"/>
      <c r="K59" s="7"/>
      <c r="L59" s="7"/>
    </row>
    <row r="60" spans="1:12">
      <c r="A60" s="1"/>
      <c r="B60" s="1"/>
      <c r="C60" s="5"/>
      <c r="D60" s="5"/>
      <c r="E60" s="7"/>
      <c r="F60" s="5"/>
      <c r="G60" s="7"/>
      <c r="H60" s="7"/>
      <c r="I60" s="7"/>
      <c r="J60" s="7"/>
      <c r="K60" s="7"/>
      <c r="L60" s="7"/>
    </row>
    <row r="61" spans="1:12">
      <c r="A61" s="1"/>
      <c r="B61" s="1"/>
      <c r="C61" s="5"/>
      <c r="D61" s="5"/>
      <c r="E61" s="7"/>
      <c r="F61" s="5"/>
      <c r="G61" s="7"/>
      <c r="H61" s="7"/>
      <c r="I61" s="7"/>
      <c r="J61" s="7"/>
      <c r="K61" s="7"/>
      <c r="L61" s="7"/>
    </row>
    <row r="62" spans="1:12">
      <c r="A62" s="1"/>
      <c r="B62" s="1"/>
      <c r="C62" s="5"/>
      <c r="D62" s="5"/>
      <c r="E62" s="7"/>
      <c r="F62" s="5"/>
      <c r="G62" s="7"/>
      <c r="H62" s="7"/>
      <c r="I62" s="7"/>
      <c r="J62" s="7"/>
      <c r="K62" s="7"/>
      <c r="L62" s="7"/>
    </row>
    <row r="63" spans="1:12">
      <c r="A63" s="1"/>
      <c r="B63" s="1"/>
      <c r="C63" s="5"/>
      <c r="D63" s="5"/>
      <c r="E63" s="7"/>
      <c r="F63" s="5"/>
      <c r="G63" s="7"/>
      <c r="H63" s="7"/>
      <c r="I63" s="7"/>
      <c r="J63" s="7"/>
      <c r="K63" s="7"/>
      <c r="L63" s="7"/>
    </row>
    <row r="64" spans="1:12">
      <c r="A64" s="1"/>
      <c r="B64" s="1"/>
      <c r="C64" s="5"/>
      <c r="D64" s="5"/>
      <c r="E64" s="7"/>
      <c r="F64" s="5"/>
      <c r="G64" s="7"/>
      <c r="H64" s="7"/>
      <c r="I64" s="7"/>
      <c r="J64" s="7"/>
      <c r="K64" s="7"/>
      <c r="L64" s="7"/>
    </row>
  </sheetData>
  <mergeCells count="12">
    <mergeCell ref="E40:H41"/>
    <mergeCell ref="I39:L39"/>
    <mergeCell ref="I40:L41"/>
    <mergeCell ref="P24:S24"/>
    <mergeCell ref="B23:J23"/>
    <mergeCell ref="P36:R36"/>
    <mergeCell ref="B33:C33"/>
    <mergeCell ref="B5:D5"/>
    <mergeCell ref="A2:U3"/>
    <mergeCell ref="B18:E18"/>
    <mergeCell ref="AO22:AP22"/>
    <mergeCell ref="E39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Preprocessing</vt:lpstr>
      <vt:lpstr>Training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Rajgopal</dc:creator>
  <cp:lastModifiedBy>Aravind</cp:lastModifiedBy>
  <dcterms:created xsi:type="dcterms:W3CDTF">2010-07-30T20:01:07Z</dcterms:created>
  <dcterms:modified xsi:type="dcterms:W3CDTF">2011-05-02T04:49:25Z</dcterms:modified>
</cp:coreProperties>
</file>