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5" windowWidth="9330" windowHeight="5685" activeTab="1"/>
  </bookViews>
  <sheets>
    <sheet name="PARITY" sheetId="1" r:id="rId1"/>
    <sheet name="Sheet1" sheetId="2" r:id="rId2"/>
  </sheets>
  <definedNames>
    <definedName name="solver_adj" localSheetId="1" hidden="1">Sheet1!$N$15:$N$21,Sheet1!$M$8:$Q$13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Sheet1!$O$43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2</definedName>
    <definedName name="solver_val" localSheetId="1" hidden="1">0</definedName>
  </definedNames>
  <calcPr calcId="124519"/>
</workbook>
</file>

<file path=xl/calcChain.xml><?xml version="1.0" encoding="utf-8"?>
<calcChain xmlns="http://schemas.openxmlformats.org/spreadsheetml/2006/main">
  <c r="Q18" i="2"/>
  <c r="O26" l="1"/>
  <c r="O27"/>
  <c r="O28"/>
  <c r="O29"/>
  <c r="O30"/>
  <c r="O31"/>
  <c r="O32"/>
  <c r="O33"/>
  <c r="O34"/>
  <c r="O35"/>
  <c r="O36"/>
  <c r="O37"/>
  <c r="O38"/>
  <c r="O39"/>
  <c r="O40"/>
  <c r="N25"/>
  <c r="N6" l="1"/>
  <c r="O6"/>
  <c r="P6"/>
  <c r="M6"/>
  <c r="R13" l="1"/>
  <c r="R12"/>
  <c r="R11"/>
  <c r="R10"/>
  <c r="R9"/>
  <c r="R8"/>
  <c r="Q16" l="1"/>
  <c r="M25" s="1"/>
  <c r="O25" s="1"/>
  <c r="O43" s="1"/>
</calcChain>
</file>

<file path=xl/sharedStrings.xml><?xml version="1.0" encoding="utf-8"?>
<sst xmlns="http://schemas.openxmlformats.org/spreadsheetml/2006/main" count="53" uniqueCount="40">
  <si>
    <t>Parity Generator</t>
  </si>
  <si>
    <t>Copyright (C) 1994, Cheshire Engineering Corp</t>
  </si>
  <si>
    <t>Inputs</t>
  </si>
  <si>
    <t>Targets</t>
  </si>
  <si>
    <t>Outputs</t>
  </si>
  <si>
    <t>Number</t>
  </si>
  <si>
    <t>Binary</t>
  </si>
  <si>
    <t>Even</t>
  </si>
  <si>
    <t>Odd</t>
  </si>
  <si>
    <t>Even?</t>
  </si>
  <si>
    <t>Odd?</t>
  </si>
  <si>
    <t>Target Output</t>
  </si>
  <si>
    <t>Input Binary</t>
  </si>
  <si>
    <t>BINARY CLASSIFIER PROBLEM</t>
  </si>
  <si>
    <t>obs1</t>
  </si>
  <si>
    <t>bias</t>
  </si>
  <si>
    <t>w1</t>
  </si>
  <si>
    <t>w2</t>
  </si>
  <si>
    <t>w3</t>
  </si>
  <si>
    <t>neuron1</t>
  </si>
  <si>
    <t>neuron2</t>
  </si>
  <si>
    <t>neuron3</t>
  </si>
  <si>
    <t>response</t>
  </si>
  <si>
    <t>w4</t>
  </si>
  <si>
    <t>Hidden Layer</t>
  </si>
  <si>
    <t>Output Layer</t>
  </si>
  <si>
    <t>neuron 1</t>
  </si>
  <si>
    <t>WHAT IF DATA TABLE</t>
  </si>
  <si>
    <t>Binary classification</t>
  </si>
  <si>
    <t>(EVEN=1,ODD=0)</t>
  </si>
  <si>
    <t>Preprocessing step</t>
  </si>
  <si>
    <t>obs</t>
  </si>
  <si>
    <t>actual value</t>
  </si>
  <si>
    <t>diff^2</t>
  </si>
  <si>
    <t>SUM OF ERROR^2 =</t>
  </si>
  <si>
    <t>neuron4</t>
  </si>
  <si>
    <t>neuron 5</t>
  </si>
  <si>
    <t>neuron 6</t>
  </si>
  <si>
    <t>w5</t>
  </si>
  <si>
    <t>w6</t>
  </si>
</sst>
</file>

<file path=xl/styles.xml><?xml version="1.0" encoding="utf-8"?>
<styleSheet xmlns="http://schemas.openxmlformats.org/spreadsheetml/2006/main">
  <fonts count="6">
    <font>
      <sz val="10"/>
      <name val="Helv"/>
    </font>
    <font>
      <b/>
      <sz val="10"/>
      <name val="Helv"/>
    </font>
    <font>
      <b/>
      <i/>
      <sz val="10"/>
      <name val="Helv"/>
    </font>
    <font>
      <b/>
      <sz val="12"/>
      <name val="Helv"/>
    </font>
    <font>
      <b/>
      <sz val="14"/>
      <name val="Helv"/>
    </font>
    <font>
      <sz val="11"/>
      <name val="Helv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0" applyNumberFormat="1"/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>
      <selection sqref="A1:L21"/>
    </sheetView>
  </sheetViews>
  <sheetFormatPr defaultRowHeight="12.75"/>
  <cols>
    <col min="2" max="7" width="2.7109375" customWidth="1"/>
    <col min="10" max="10" width="2.7109375" customWidth="1"/>
    <col min="13" max="13" width="2.7109375" customWidth="1"/>
  </cols>
  <sheetData>
    <row r="1" spans="1:13">
      <c r="A1" s="1" t="s">
        <v>0</v>
      </c>
    </row>
    <row r="2" spans="1:13">
      <c r="A2" s="1" t="s">
        <v>1</v>
      </c>
    </row>
    <row r="4" spans="1:13">
      <c r="A4" s="2"/>
      <c r="B4" s="2"/>
      <c r="C4" s="2" t="s">
        <v>2</v>
      </c>
      <c r="D4" s="3"/>
      <c r="E4" s="3"/>
      <c r="F4" s="3"/>
      <c r="G4" s="3"/>
      <c r="H4" s="3" t="s">
        <v>3</v>
      </c>
      <c r="I4" s="3"/>
      <c r="J4" s="3"/>
      <c r="K4" s="3" t="s">
        <v>4</v>
      </c>
      <c r="L4" s="3"/>
    </row>
    <row r="5" spans="1:13">
      <c r="A5" s="2" t="s">
        <v>5</v>
      </c>
      <c r="B5" s="2"/>
      <c r="C5" s="2" t="s">
        <v>6</v>
      </c>
      <c r="D5" s="3"/>
      <c r="E5" s="3"/>
      <c r="F5" s="3"/>
      <c r="G5" s="3"/>
      <c r="H5" s="3" t="s">
        <v>7</v>
      </c>
      <c r="I5" s="3" t="s">
        <v>8</v>
      </c>
      <c r="J5" s="3"/>
      <c r="K5" s="3" t="s">
        <v>9</v>
      </c>
      <c r="L5" s="3" t="s">
        <v>10</v>
      </c>
    </row>
    <row r="6" spans="1:13">
      <c r="A6" s="4">
        <v>0</v>
      </c>
      <c r="B6" s="5"/>
      <c r="C6" s="5">
        <v>0</v>
      </c>
      <c r="D6" s="5">
        <v>0</v>
      </c>
      <c r="E6" s="5">
        <v>0</v>
      </c>
      <c r="F6" s="5">
        <v>0</v>
      </c>
      <c r="G6" s="5"/>
      <c r="H6" s="5">
        <v>1</v>
      </c>
      <c r="I6" s="5">
        <v>0</v>
      </c>
      <c r="J6" s="5"/>
      <c r="K6" s="6"/>
      <c r="L6" s="6"/>
    </row>
    <row r="7" spans="1:13">
      <c r="A7" s="4">
        <v>1</v>
      </c>
      <c r="B7" s="5"/>
      <c r="C7" s="5">
        <v>0</v>
      </c>
      <c r="D7" s="5">
        <v>0</v>
      </c>
      <c r="E7" s="5">
        <v>0</v>
      </c>
      <c r="F7" s="5">
        <v>1</v>
      </c>
      <c r="G7" s="5"/>
      <c r="H7" s="5">
        <v>0</v>
      </c>
      <c r="I7" s="5">
        <v>1</v>
      </c>
      <c r="J7" s="5"/>
      <c r="K7" s="6"/>
      <c r="L7" s="6"/>
    </row>
    <row r="8" spans="1:13">
      <c r="A8" s="4">
        <v>2</v>
      </c>
      <c r="B8" s="5"/>
      <c r="C8" s="5">
        <v>0</v>
      </c>
      <c r="D8" s="5">
        <v>0</v>
      </c>
      <c r="E8" s="5">
        <v>1</v>
      </c>
      <c r="F8" s="5">
        <v>0</v>
      </c>
      <c r="G8" s="5"/>
      <c r="H8" s="5">
        <v>0</v>
      </c>
      <c r="I8" s="5">
        <v>1</v>
      </c>
      <c r="J8" s="5"/>
      <c r="K8" s="6"/>
      <c r="L8" s="6"/>
    </row>
    <row r="9" spans="1:13">
      <c r="A9" s="4">
        <v>3</v>
      </c>
      <c r="B9" s="5"/>
      <c r="C9" s="5">
        <v>0</v>
      </c>
      <c r="D9" s="5">
        <v>0</v>
      </c>
      <c r="E9" s="5">
        <v>1</v>
      </c>
      <c r="F9" s="5">
        <v>1</v>
      </c>
      <c r="G9" s="5"/>
      <c r="H9" s="5">
        <v>1</v>
      </c>
      <c r="I9" s="5">
        <v>0</v>
      </c>
      <c r="J9" s="5"/>
      <c r="K9" s="6"/>
      <c r="L9" s="6"/>
    </row>
    <row r="10" spans="1:13">
      <c r="A10" s="4">
        <v>4</v>
      </c>
      <c r="B10" s="5"/>
      <c r="C10" s="5">
        <v>0</v>
      </c>
      <c r="D10" s="5">
        <v>1</v>
      </c>
      <c r="E10" s="5">
        <v>0</v>
      </c>
      <c r="F10" s="5">
        <v>0</v>
      </c>
      <c r="G10" s="5"/>
      <c r="H10" s="5">
        <v>0</v>
      </c>
      <c r="I10" s="5">
        <v>1</v>
      </c>
      <c r="J10" s="5"/>
      <c r="K10" s="6"/>
      <c r="L10" s="6"/>
    </row>
    <row r="11" spans="1:13">
      <c r="A11" s="4">
        <v>5</v>
      </c>
      <c r="B11" s="5"/>
      <c r="C11" s="5">
        <v>0</v>
      </c>
      <c r="D11" s="5">
        <v>1</v>
      </c>
      <c r="E11" s="5">
        <v>0</v>
      </c>
      <c r="F11" s="5">
        <v>1</v>
      </c>
      <c r="G11" s="5"/>
      <c r="H11" s="5">
        <v>1</v>
      </c>
      <c r="I11" s="5">
        <v>0</v>
      </c>
      <c r="J11" s="5"/>
      <c r="K11" s="6"/>
      <c r="L11" s="6"/>
    </row>
    <row r="12" spans="1:13">
      <c r="A12" s="4">
        <v>6</v>
      </c>
      <c r="B12" s="5"/>
      <c r="C12" s="5">
        <v>0</v>
      </c>
      <c r="D12" s="5">
        <v>1</v>
      </c>
      <c r="E12" s="5">
        <v>1</v>
      </c>
      <c r="F12" s="5">
        <v>0</v>
      </c>
      <c r="G12" s="5"/>
      <c r="H12" s="5">
        <v>1</v>
      </c>
      <c r="I12" s="5">
        <v>0</v>
      </c>
      <c r="J12" s="5"/>
      <c r="K12" s="6"/>
      <c r="L12" s="6"/>
    </row>
    <row r="13" spans="1:13">
      <c r="A13" s="4">
        <v>7</v>
      </c>
      <c r="B13" s="5"/>
      <c r="C13" s="5">
        <v>0</v>
      </c>
      <c r="D13" s="5">
        <v>1</v>
      </c>
      <c r="E13" s="5">
        <v>1</v>
      </c>
      <c r="F13" s="5">
        <v>1</v>
      </c>
      <c r="G13" s="5"/>
      <c r="H13" s="5">
        <v>0</v>
      </c>
      <c r="I13" s="5">
        <v>1</v>
      </c>
      <c r="J13" s="5"/>
      <c r="K13" s="6"/>
      <c r="L13" s="6"/>
      <c r="M13" s="7"/>
    </row>
    <row r="14" spans="1:13">
      <c r="A14" s="4">
        <v>8</v>
      </c>
      <c r="B14" s="5"/>
      <c r="C14" s="5">
        <v>1</v>
      </c>
      <c r="D14" s="5">
        <v>0</v>
      </c>
      <c r="E14" s="5">
        <v>0</v>
      </c>
      <c r="F14" s="5">
        <v>0</v>
      </c>
      <c r="G14" s="5"/>
      <c r="H14" s="5">
        <v>0</v>
      </c>
      <c r="I14" s="5">
        <v>1</v>
      </c>
      <c r="J14" s="5"/>
      <c r="K14" s="6"/>
      <c r="L14" s="6"/>
    </row>
    <row r="15" spans="1:13">
      <c r="A15" s="4">
        <v>9</v>
      </c>
      <c r="B15" s="5"/>
      <c r="C15" s="5">
        <v>1</v>
      </c>
      <c r="D15" s="5">
        <v>0</v>
      </c>
      <c r="E15" s="5">
        <v>0</v>
      </c>
      <c r="F15" s="5">
        <v>1</v>
      </c>
      <c r="G15" s="5"/>
      <c r="H15" s="5">
        <v>1</v>
      </c>
      <c r="I15" s="5">
        <v>0</v>
      </c>
      <c r="J15" s="5"/>
      <c r="K15" s="6"/>
      <c r="L15" s="6"/>
    </row>
    <row r="16" spans="1:13">
      <c r="A16" s="4">
        <v>10</v>
      </c>
      <c r="B16" s="5"/>
      <c r="C16" s="5">
        <v>1</v>
      </c>
      <c r="D16" s="5">
        <v>0</v>
      </c>
      <c r="E16" s="5">
        <v>1</v>
      </c>
      <c r="F16" s="5">
        <v>0</v>
      </c>
      <c r="G16" s="5"/>
      <c r="H16" s="5">
        <v>1</v>
      </c>
      <c r="I16" s="5">
        <v>0</v>
      </c>
      <c r="J16" s="5"/>
      <c r="K16" s="6"/>
      <c r="L16" s="6"/>
    </row>
    <row r="17" spans="1:13">
      <c r="A17" s="4">
        <v>11</v>
      </c>
      <c r="B17" s="5"/>
      <c r="C17" s="5">
        <v>1</v>
      </c>
      <c r="D17" s="5">
        <v>0</v>
      </c>
      <c r="E17" s="5">
        <v>1</v>
      </c>
      <c r="F17" s="5">
        <v>1</v>
      </c>
      <c r="G17" s="5"/>
      <c r="H17" s="5">
        <v>0</v>
      </c>
      <c r="I17" s="5">
        <v>1</v>
      </c>
      <c r="J17" s="5"/>
      <c r="K17" s="6"/>
      <c r="L17" s="6"/>
    </row>
    <row r="18" spans="1:13">
      <c r="A18" s="4">
        <v>12</v>
      </c>
      <c r="B18" s="5"/>
      <c r="C18" s="5">
        <v>1</v>
      </c>
      <c r="D18" s="5">
        <v>1</v>
      </c>
      <c r="E18" s="5">
        <v>0</v>
      </c>
      <c r="F18" s="5">
        <v>0</v>
      </c>
      <c r="G18" s="5"/>
      <c r="H18" s="5">
        <v>1</v>
      </c>
      <c r="I18" s="5">
        <v>0</v>
      </c>
      <c r="J18" s="5"/>
      <c r="K18" s="6"/>
      <c r="L18" s="6"/>
    </row>
    <row r="19" spans="1:13">
      <c r="A19" s="4">
        <v>13</v>
      </c>
      <c r="B19" s="5"/>
      <c r="C19" s="5">
        <v>1</v>
      </c>
      <c r="D19" s="5">
        <v>1</v>
      </c>
      <c r="E19" s="5">
        <v>0</v>
      </c>
      <c r="F19" s="5">
        <v>1</v>
      </c>
      <c r="G19" s="5"/>
      <c r="H19" s="5">
        <v>0</v>
      </c>
      <c r="I19" s="5">
        <v>1</v>
      </c>
      <c r="J19" s="5"/>
      <c r="K19" s="6"/>
      <c r="L19" s="6"/>
    </row>
    <row r="20" spans="1:13">
      <c r="A20" s="4">
        <v>14</v>
      </c>
      <c r="B20" s="5"/>
      <c r="C20" s="5">
        <v>1</v>
      </c>
      <c r="D20" s="5">
        <v>1</v>
      </c>
      <c r="E20" s="5">
        <v>1</v>
      </c>
      <c r="F20" s="5">
        <v>0</v>
      </c>
      <c r="G20" s="5"/>
      <c r="H20" s="5">
        <v>0</v>
      </c>
      <c r="I20" s="5">
        <v>1</v>
      </c>
      <c r="J20" s="5"/>
      <c r="K20" s="6"/>
      <c r="L20" s="6"/>
    </row>
    <row r="21" spans="1:13">
      <c r="A21" s="4">
        <v>15</v>
      </c>
      <c r="B21" s="5"/>
      <c r="C21" s="5">
        <v>1</v>
      </c>
      <c r="D21" s="5">
        <v>1</v>
      </c>
      <c r="E21" s="5">
        <v>1</v>
      </c>
      <c r="F21" s="5">
        <v>1</v>
      </c>
      <c r="G21" s="5"/>
      <c r="H21" s="5">
        <v>1</v>
      </c>
      <c r="I21" s="5">
        <v>0</v>
      </c>
      <c r="J21" s="5"/>
      <c r="K21" s="6"/>
      <c r="L21" s="6"/>
      <c r="M21" s="7"/>
    </row>
  </sheetData>
  <printOptions headings="1" gridLines="1" gridLinesSet="0"/>
  <pageMargins left="0.75" right="0.75" top="1" bottom="1" header="0.5" footer="0.5"/>
  <headerFooter alignWithMargins="0"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R43"/>
  <sheetViews>
    <sheetView tabSelected="1" topLeftCell="C1" workbookViewId="0">
      <selection activeCell="O36" sqref="O36"/>
    </sheetView>
  </sheetViews>
  <sheetFormatPr defaultRowHeight="12.75"/>
  <cols>
    <col min="10" max="10" width="23.5703125" bestFit="1" customWidth="1"/>
    <col min="12" max="12" width="14.7109375" bestFit="1" customWidth="1"/>
    <col min="14" max="14" width="11.28515625" bestFit="1" customWidth="1"/>
    <col min="16" max="16" width="11.28515625" bestFit="1" customWidth="1"/>
  </cols>
  <sheetData>
    <row r="1" spans="1:18">
      <c r="A1" s="1" t="s">
        <v>0</v>
      </c>
      <c r="L1" s="10" t="s">
        <v>13</v>
      </c>
      <c r="M1" s="10"/>
      <c r="N1" s="10"/>
      <c r="O1" s="10"/>
      <c r="P1" s="10"/>
    </row>
    <row r="2" spans="1:18">
      <c r="A2" s="1" t="s">
        <v>1</v>
      </c>
      <c r="J2" t="s">
        <v>30</v>
      </c>
      <c r="L2" s="10"/>
      <c r="M2" s="10"/>
      <c r="N2" s="10"/>
      <c r="O2" s="10"/>
      <c r="P2" s="10"/>
    </row>
    <row r="4" spans="1:18">
      <c r="A4" s="2"/>
      <c r="B4" s="2"/>
      <c r="D4" s="3"/>
      <c r="E4" s="3"/>
      <c r="F4" s="3"/>
      <c r="G4" s="3"/>
      <c r="H4" s="9" t="s">
        <v>11</v>
      </c>
      <c r="I4" s="9"/>
      <c r="J4" s="3" t="s">
        <v>28</v>
      </c>
      <c r="K4" s="3"/>
      <c r="L4" s="3"/>
      <c r="M4" s="3"/>
    </row>
    <row r="5" spans="1:18">
      <c r="A5" s="2" t="s">
        <v>5</v>
      </c>
      <c r="B5" s="2"/>
      <c r="C5" s="9" t="s">
        <v>12</v>
      </c>
      <c r="D5" s="9"/>
      <c r="E5" s="9"/>
      <c r="F5" s="9"/>
      <c r="G5" s="3"/>
      <c r="H5" s="3" t="s">
        <v>7</v>
      </c>
      <c r="I5" s="3" t="s">
        <v>8</v>
      </c>
      <c r="J5" s="3" t="s">
        <v>29</v>
      </c>
      <c r="K5" s="3"/>
      <c r="L5" s="3" t="s">
        <v>14</v>
      </c>
      <c r="M5" s="3">
        <v>1</v>
      </c>
      <c r="N5" s="3">
        <v>2</v>
      </c>
      <c r="O5" s="3">
        <v>3</v>
      </c>
      <c r="P5" s="3">
        <v>4</v>
      </c>
    </row>
    <row r="6" spans="1:18">
      <c r="A6" s="4">
        <v>0</v>
      </c>
      <c r="B6" s="5"/>
      <c r="C6" s="5">
        <v>0</v>
      </c>
      <c r="D6" s="5">
        <v>0</v>
      </c>
      <c r="E6" s="5">
        <v>0</v>
      </c>
      <c r="F6" s="5">
        <v>0</v>
      </c>
      <c r="G6" s="5"/>
      <c r="H6" s="5">
        <v>1</v>
      </c>
      <c r="I6" s="5">
        <v>0</v>
      </c>
      <c r="J6" s="5">
        <v>1</v>
      </c>
      <c r="K6" s="5"/>
      <c r="L6" s="6">
        <v>5</v>
      </c>
      <c r="M6" s="6">
        <f>INDEX($C$6:$F$21,$L$6,M5)</f>
        <v>0</v>
      </c>
      <c r="N6" s="6">
        <f t="shared" ref="N6:P6" si="0">INDEX($C$6:$F$21,$L$6,N5)</f>
        <v>1</v>
      </c>
      <c r="O6" s="6">
        <f t="shared" si="0"/>
        <v>0</v>
      </c>
      <c r="P6" s="6">
        <f t="shared" si="0"/>
        <v>0</v>
      </c>
    </row>
    <row r="7" spans="1:18">
      <c r="A7" s="4">
        <v>1</v>
      </c>
      <c r="B7" s="5"/>
      <c r="C7" s="5">
        <v>0</v>
      </c>
      <c r="D7" s="5">
        <v>0</v>
      </c>
      <c r="E7" s="5">
        <v>0</v>
      </c>
      <c r="F7" s="5">
        <v>1</v>
      </c>
      <c r="G7" s="5"/>
      <c r="H7" s="5">
        <v>0</v>
      </c>
      <c r="I7" s="5">
        <v>1</v>
      </c>
      <c r="J7" s="5">
        <v>0</v>
      </c>
      <c r="K7" s="5"/>
      <c r="L7" s="8" t="s">
        <v>24</v>
      </c>
      <c r="M7" s="6" t="s">
        <v>15</v>
      </c>
      <c r="N7" t="s">
        <v>16</v>
      </c>
      <c r="O7" t="s">
        <v>17</v>
      </c>
      <c r="P7" t="s">
        <v>18</v>
      </c>
      <c r="Q7" t="s">
        <v>23</v>
      </c>
      <c r="R7" t="s">
        <v>22</v>
      </c>
    </row>
    <row r="8" spans="1:18">
      <c r="A8" s="4">
        <v>2</v>
      </c>
      <c r="B8" s="5"/>
      <c r="C8" s="5">
        <v>0</v>
      </c>
      <c r="D8" s="5">
        <v>0</v>
      </c>
      <c r="E8" s="5">
        <v>1</v>
      </c>
      <c r="F8" s="5">
        <v>0</v>
      </c>
      <c r="G8" s="5"/>
      <c r="H8" s="5">
        <v>0</v>
      </c>
      <c r="I8" s="5">
        <v>1</v>
      </c>
      <c r="J8" s="5">
        <v>0</v>
      </c>
      <c r="K8" s="5"/>
      <c r="L8" s="6" t="s">
        <v>19</v>
      </c>
      <c r="M8" s="6">
        <v>-19.296252625948465</v>
      </c>
      <c r="N8" s="5">
        <v>32.55674487706829</v>
      </c>
      <c r="O8" s="5">
        <v>30.457147999478686</v>
      </c>
      <c r="P8" s="5">
        <v>-27.070640682284907</v>
      </c>
      <c r="Q8" s="5">
        <v>32.567456508936139</v>
      </c>
      <c r="R8">
        <f>1/(1+EXP(-(M8+SUMPRODUCT(N8:Q8,$M$6:$P$6))))</f>
        <v>0.9999857806890754</v>
      </c>
    </row>
    <row r="9" spans="1:18">
      <c r="A9" s="4">
        <v>3</v>
      </c>
      <c r="B9" s="5"/>
      <c r="C9" s="5">
        <v>0</v>
      </c>
      <c r="D9" s="5">
        <v>0</v>
      </c>
      <c r="E9" s="5">
        <v>1</v>
      </c>
      <c r="F9" s="5">
        <v>1</v>
      </c>
      <c r="G9" s="5"/>
      <c r="H9" s="5">
        <v>1</v>
      </c>
      <c r="I9" s="5">
        <v>0</v>
      </c>
      <c r="J9" s="5">
        <v>1</v>
      </c>
      <c r="K9" s="5"/>
      <c r="L9" s="6" t="s">
        <v>20</v>
      </c>
      <c r="M9" s="6">
        <v>35.68249899089237</v>
      </c>
      <c r="N9" s="5">
        <v>32.556447311310237</v>
      </c>
      <c r="O9" s="5">
        <v>-30.084400734955405</v>
      </c>
      <c r="P9" s="5">
        <v>-23.801385434903686</v>
      </c>
      <c r="Q9" s="5">
        <v>-21.762147339705859</v>
      </c>
      <c r="R9">
        <f t="shared" ref="R9:R13" si="1">1/(1+EXP(-(M9+SUMPRODUCT(N9:Q9,$M$6:$P$6))))</f>
        <v>0.99630877283983788</v>
      </c>
    </row>
    <row r="10" spans="1:18">
      <c r="A10" s="4">
        <v>4</v>
      </c>
      <c r="B10" s="5"/>
      <c r="C10" s="5">
        <v>0</v>
      </c>
      <c r="D10" s="5">
        <v>1</v>
      </c>
      <c r="E10" s="5">
        <v>0</v>
      </c>
      <c r="F10" s="5">
        <v>0</v>
      </c>
      <c r="G10" s="5"/>
      <c r="H10" s="5">
        <v>0</v>
      </c>
      <c r="I10" s="5">
        <v>1</v>
      </c>
      <c r="J10" s="5">
        <v>0</v>
      </c>
      <c r="K10" s="5"/>
      <c r="L10" s="6" t="s">
        <v>21</v>
      </c>
      <c r="M10" s="6">
        <v>10.350699355240399</v>
      </c>
      <c r="N10" s="5">
        <v>32.556249316677544</v>
      </c>
      <c r="O10" s="5">
        <v>-20.829615329079594</v>
      </c>
      <c r="P10" s="5">
        <v>23.956025710572717</v>
      </c>
      <c r="Q10" s="5">
        <v>13.254662030708483</v>
      </c>
      <c r="R10">
        <f t="shared" si="1"/>
        <v>2.8122401392659405E-5</v>
      </c>
    </row>
    <row r="11" spans="1:18">
      <c r="A11" s="4">
        <v>5</v>
      </c>
      <c r="B11" s="5"/>
      <c r="C11" s="5">
        <v>0</v>
      </c>
      <c r="D11" s="5">
        <v>1</v>
      </c>
      <c r="E11" s="5">
        <v>0</v>
      </c>
      <c r="F11" s="5">
        <v>1</v>
      </c>
      <c r="G11" s="5"/>
      <c r="H11" s="5">
        <v>1</v>
      </c>
      <c r="I11" s="5">
        <v>0</v>
      </c>
      <c r="J11" s="5">
        <v>1</v>
      </c>
      <c r="K11" s="5"/>
      <c r="L11" s="6" t="s">
        <v>35</v>
      </c>
      <c r="M11" s="6">
        <v>7.4033598986567197</v>
      </c>
      <c r="N11" s="5">
        <v>-13.831354290004967</v>
      </c>
      <c r="O11" s="5">
        <v>15.575539450032906</v>
      </c>
      <c r="P11" s="5">
        <v>-24.992023029443825</v>
      </c>
      <c r="Q11" s="5">
        <v>124.26867877821677</v>
      </c>
      <c r="R11">
        <f t="shared" si="1"/>
        <v>0.99999999989519295</v>
      </c>
    </row>
    <row r="12" spans="1:18">
      <c r="A12" s="4">
        <v>6</v>
      </c>
      <c r="B12" s="5"/>
      <c r="C12" s="5">
        <v>0</v>
      </c>
      <c r="D12" s="5">
        <v>1</v>
      </c>
      <c r="E12" s="5">
        <v>1</v>
      </c>
      <c r="F12" s="5">
        <v>0</v>
      </c>
      <c r="G12" s="5"/>
      <c r="H12" s="5">
        <v>1</v>
      </c>
      <c r="I12" s="5">
        <v>0</v>
      </c>
      <c r="J12" s="5">
        <v>1</v>
      </c>
      <c r="K12" s="5"/>
      <c r="L12" s="6" t="s">
        <v>36</v>
      </c>
      <c r="M12" s="6">
        <v>-73.617285263316219</v>
      </c>
      <c r="N12" s="5">
        <v>20.057898212269222</v>
      </c>
      <c r="O12" s="5">
        <v>20.109652454262541</v>
      </c>
      <c r="P12" s="5">
        <v>-21.101974892688666</v>
      </c>
      <c r="Q12" s="5">
        <v>44.381894578968982</v>
      </c>
      <c r="R12">
        <f t="shared" si="1"/>
        <v>5.7800331779838251E-24</v>
      </c>
    </row>
    <row r="13" spans="1:18">
      <c r="A13" s="4">
        <v>7</v>
      </c>
      <c r="B13" s="5"/>
      <c r="C13" s="5">
        <v>0</v>
      </c>
      <c r="D13" s="5">
        <v>1</v>
      </c>
      <c r="E13" s="5">
        <v>1</v>
      </c>
      <c r="F13" s="5">
        <v>1</v>
      </c>
      <c r="G13" s="5"/>
      <c r="H13" s="5">
        <v>0</v>
      </c>
      <c r="I13" s="5">
        <v>1</v>
      </c>
      <c r="J13" s="5">
        <v>0</v>
      </c>
      <c r="K13" s="5"/>
      <c r="L13" s="6" t="s">
        <v>37</v>
      </c>
      <c r="M13" s="6">
        <v>-6.6395761593706197</v>
      </c>
      <c r="N13" s="5">
        <v>26.93470915142133</v>
      </c>
      <c r="O13" s="5">
        <v>17.497220065147442</v>
      </c>
      <c r="P13" s="5">
        <v>-18.401230450171923</v>
      </c>
      <c r="Q13" s="5">
        <v>-10.811068164921856</v>
      </c>
      <c r="R13">
        <f t="shared" si="1"/>
        <v>0.99998074352446642</v>
      </c>
    </row>
    <row r="14" spans="1:18">
      <c r="A14" s="4">
        <v>8</v>
      </c>
      <c r="B14" s="5"/>
      <c r="C14" s="5">
        <v>1</v>
      </c>
      <c r="D14" s="5">
        <v>0</v>
      </c>
      <c r="E14" s="5">
        <v>0</v>
      </c>
      <c r="F14" s="5">
        <v>0</v>
      </c>
      <c r="G14" s="5"/>
      <c r="H14" s="5">
        <v>0</v>
      </c>
      <c r="I14" s="5">
        <v>1</v>
      </c>
      <c r="J14" s="5">
        <v>0</v>
      </c>
      <c r="K14" s="5"/>
      <c r="L14" s="13" t="s">
        <v>25</v>
      </c>
      <c r="M14" s="6" t="s">
        <v>26</v>
      </c>
    </row>
    <row r="15" spans="1:18">
      <c r="A15" s="4">
        <v>9</v>
      </c>
      <c r="B15" s="5"/>
      <c r="C15" s="5">
        <v>1</v>
      </c>
      <c r="D15" s="5">
        <v>0</v>
      </c>
      <c r="E15" s="5">
        <v>0</v>
      </c>
      <c r="F15" s="5">
        <v>1</v>
      </c>
      <c r="G15" s="5"/>
      <c r="H15" s="5">
        <v>1</v>
      </c>
      <c r="I15" s="5">
        <v>0</v>
      </c>
      <c r="J15" s="5">
        <v>1</v>
      </c>
      <c r="K15" s="5"/>
      <c r="L15" s="13"/>
      <c r="M15" s="6" t="s">
        <v>15</v>
      </c>
      <c r="N15">
        <v>-5.8581635919349511</v>
      </c>
    </row>
    <row r="16" spans="1:18">
      <c r="A16" s="4">
        <v>10</v>
      </c>
      <c r="B16" s="5"/>
      <c r="C16" s="5">
        <v>1</v>
      </c>
      <c r="D16" s="5">
        <v>0</v>
      </c>
      <c r="E16" s="5">
        <v>1</v>
      </c>
      <c r="F16" s="5">
        <v>0</v>
      </c>
      <c r="G16" s="5"/>
      <c r="H16" s="5">
        <v>1</v>
      </c>
      <c r="I16" s="5">
        <v>0</v>
      </c>
      <c r="J16" s="5">
        <v>1</v>
      </c>
      <c r="K16" s="5"/>
      <c r="L16" s="6"/>
      <c r="M16" s="6" t="s">
        <v>16</v>
      </c>
      <c r="N16">
        <v>-39.194076797431713</v>
      </c>
      <c r="P16" t="s">
        <v>22</v>
      </c>
      <c r="Q16">
        <f>1/(1+EXP(-(N15+SUMPRODUCT(N16:N21,$R$8:$R$13))))</f>
        <v>1.1272507536518606E-4</v>
      </c>
    </row>
    <row r="17" spans="1:17">
      <c r="A17" s="4">
        <v>11</v>
      </c>
      <c r="B17" s="5"/>
      <c r="C17" s="5">
        <v>1</v>
      </c>
      <c r="D17" s="5">
        <v>0</v>
      </c>
      <c r="E17" s="5">
        <v>1</v>
      </c>
      <c r="F17" s="5">
        <v>1</v>
      </c>
      <c r="G17" s="5"/>
      <c r="H17" s="5">
        <v>0</v>
      </c>
      <c r="I17" s="5">
        <v>1</v>
      </c>
      <c r="J17" s="5">
        <v>0</v>
      </c>
      <c r="K17" s="5"/>
      <c r="L17" s="6"/>
      <c r="M17" s="6" t="s">
        <v>17</v>
      </c>
      <c r="N17">
        <v>-22.291895074733574</v>
      </c>
    </row>
    <row r="18" spans="1:17">
      <c r="A18" s="4">
        <v>12</v>
      </c>
      <c r="B18" s="5"/>
      <c r="C18" s="5">
        <v>1</v>
      </c>
      <c r="D18" s="5">
        <v>1</v>
      </c>
      <c r="E18" s="5">
        <v>0</v>
      </c>
      <c r="F18" s="5">
        <v>0</v>
      </c>
      <c r="G18" s="5"/>
      <c r="H18" s="5">
        <v>1</v>
      </c>
      <c r="I18" s="5">
        <v>0</v>
      </c>
      <c r="J18" s="5">
        <v>1</v>
      </c>
      <c r="K18" s="5"/>
      <c r="L18" s="6"/>
      <c r="M18" s="6" t="s">
        <v>18</v>
      </c>
      <c r="N18">
        <v>17.908385053965322</v>
      </c>
      <c r="P18" t="s">
        <v>32</v>
      </c>
      <c r="Q18">
        <f>INDEX($J$6:$J$21,L6,1)</f>
        <v>0</v>
      </c>
    </row>
    <row r="19" spans="1:17">
      <c r="A19" s="4">
        <v>13</v>
      </c>
      <c r="B19" s="5"/>
      <c r="C19" s="5">
        <v>1</v>
      </c>
      <c r="D19" s="5">
        <v>1</v>
      </c>
      <c r="E19" s="5">
        <v>0</v>
      </c>
      <c r="F19" s="5">
        <v>1</v>
      </c>
      <c r="G19" s="5"/>
      <c r="H19" s="5">
        <v>0</v>
      </c>
      <c r="I19" s="5">
        <v>1</v>
      </c>
      <c r="J19" s="5">
        <v>0</v>
      </c>
      <c r="K19" s="5"/>
      <c r="L19" s="6"/>
      <c r="M19" s="6" t="s">
        <v>23</v>
      </c>
      <c r="N19">
        <v>18.721678050328578</v>
      </c>
    </row>
    <row r="20" spans="1:17">
      <c r="A20" s="4">
        <v>14</v>
      </c>
      <c r="B20" s="5"/>
      <c r="C20" s="5">
        <v>1</v>
      </c>
      <c r="D20" s="5">
        <v>1</v>
      </c>
      <c r="E20" s="5">
        <v>1</v>
      </c>
      <c r="F20" s="5">
        <v>0</v>
      </c>
      <c r="G20" s="5"/>
      <c r="H20" s="5">
        <v>0</v>
      </c>
      <c r="I20" s="5">
        <v>1</v>
      </c>
      <c r="J20" s="5">
        <v>0</v>
      </c>
      <c r="K20" s="5"/>
      <c r="L20" s="6"/>
      <c r="M20" s="6" t="s">
        <v>38</v>
      </c>
      <c r="N20">
        <v>-21.118464123727012</v>
      </c>
    </row>
    <row r="21" spans="1:17" ht="12.75" customHeight="1">
      <c r="A21" s="4">
        <v>15</v>
      </c>
      <c r="B21" s="5"/>
      <c r="C21" s="5">
        <v>1</v>
      </c>
      <c r="D21" s="5">
        <v>1</v>
      </c>
      <c r="E21" s="5">
        <v>1</v>
      </c>
      <c r="F21" s="5">
        <v>1</v>
      </c>
      <c r="G21" s="5"/>
      <c r="H21" s="5">
        <v>1</v>
      </c>
      <c r="I21" s="5">
        <v>0</v>
      </c>
      <c r="J21" s="5">
        <v>1</v>
      </c>
      <c r="K21" s="5"/>
      <c r="M21" s="6" t="s">
        <v>39</v>
      </c>
      <c r="N21">
        <v>39.449425750874674</v>
      </c>
    </row>
    <row r="22" spans="1:17" ht="12.75" customHeight="1">
      <c r="L22" s="12" t="s">
        <v>27</v>
      </c>
      <c r="M22" s="12"/>
      <c r="N22" s="12"/>
    </row>
    <row r="23" spans="1:17" ht="15.75" customHeight="1">
      <c r="L23" s="12"/>
      <c r="M23" s="12"/>
      <c r="N23" s="12"/>
    </row>
    <row r="24" spans="1:17">
      <c r="L24" t="s">
        <v>31</v>
      </c>
      <c r="M24" t="s">
        <v>22</v>
      </c>
      <c r="N24" t="s">
        <v>32</v>
      </c>
      <c r="O24" t="s">
        <v>33</v>
      </c>
    </row>
    <row r="25" spans="1:17">
      <c r="L25">
        <v>1</v>
      </c>
      <c r="M25">
        <f>Q16</f>
        <v>1.1272507536518606E-4</v>
      </c>
      <c r="N25">
        <f>Q18</f>
        <v>0</v>
      </c>
      <c r="O25">
        <f>IFERROR((M25-N25)^2,9999999)</f>
        <v>1.2706942616086877E-8</v>
      </c>
    </row>
    <row r="26" spans="1:17">
      <c r="L26">
        <v>2</v>
      </c>
      <c r="M26">
        <f t="dataTable" ref="M26:N40" dt2D="0" dtr="0" r1="L6"/>
        <v>4.5823299999299226E-14</v>
      </c>
      <c r="N26">
        <v>0</v>
      </c>
      <c r="O26">
        <f t="shared" ref="O26:O40" si="2">IFERROR((M26-N26)^2,9999999)</f>
        <v>2.0997748228257764E-27</v>
      </c>
    </row>
    <row r="27" spans="1:17">
      <c r="L27">
        <v>3</v>
      </c>
      <c r="M27">
        <v>3.5657374148073344E-5</v>
      </c>
      <c r="N27">
        <v>0</v>
      </c>
      <c r="O27">
        <f t="shared" si="2"/>
        <v>1.2714483311356892E-9</v>
      </c>
    </row>
    <row r="28" spans="1:17">
      <c r="L28">
        <v>4</v>
      </c>
      <c r="M28">
        <v>0.9999999999999567</v>
      </c>
      <c r="N28">
        <v>1</v>
      </c>
      <c r="O28">
        <f t="shared" si="2"/>
        <v>1.8747772450643109E-27</v>
      </c>
    </row>
    <row r="29" spans="1:17">
      <c r="L29">
        <v>5</v>
      </c>
      <c r="M29">
        <v>1.1272507536518606E-4</v>
      </c>
      <c r="N29">
        <v>0</v>
      </c>
      <c r="O29">
        <f t="shared" si="2"/>
        <v>1.2706942616086877E-8</v>
      </c>
    </row>
    <row r="30" spans="1:17">
      <c r="L30">
        <v>6</v>
      </c>
      <c r="M30">
        <v>0.99997766181298475</v>
      </c>
      <c r="N30">
        <v>1</v>
      </c>
      <c r="O30">
        <f t="shared" si="2"/>
        <v>4.9899459912816122E-10</v>
      </c>
    </row>
    <row r="31" spans="1:17">
      <c r="L31">
        <v>7</v>
      </c>
      <c r="M31">
        <v>0.99999936970622838</v>
      </c>
      <c r="N31">
        <v>1</v>
      </c>
      <c r="O31">
        <f t="shared" si="2"/>
        <v>3.9727023854246746E-13</v>
      </c>
    </row>
    <row r="32" spans="1:17">
      <c r="L32">
        <v>8</v>
      </c>
      <c r="M32">
        <v>2.1988750342255954E-4</v>
      </c>
      <c r="N32">
        <v>0</v>
      </c>
      <c r="O32">
        <f t="shared" si="2"/>
        <v>4.8350514161406136E-8</v>
      </c>
    </row>
    <row r="33" spans="12:15">
      <c r="L33">
        <v>9</v>
      </c>
      <c r="M33">
        <v>4.7437178257150306E-5</v>
      </c>
      <c r="N33">
        <v>0</v>
      </c>
      <c r="O33">
        <f t="shared" si="2"/>
        <v>2.2502858810006536E-9</v>
      </c>
    </row>
    <row r="34" spans="12:15">
      <c r="L34">
        <v>10</v>
      </c>
      <c r="M34">
        <v>0.99983839133696895</v>
      </c>
      <c r="N34">
        <v>1</v>
      </c>
      <c r="O34">
        <f t="shared" si="2"/>
        <v>2.6117359966684841E-8</v>
      </c>
    </row>
    <row r="35" spans="12:15">
      <c r="L35">
        <v>11</v>
      </c>
      <c r="M35">
        <v>0.9999999999640079</v>
      </c>
      <c r="N35">
        <v>1</v>
      </c>
      <c r="O35">
        <f t="shared" si="2"/>
        <v>1.2954311321702877E-21</v>
      </c>
    </row>
    <row r="36" spans="12:15">
      <c r="L36">
        <v>12</v>
      </c>
      <c r="M36">
        <v>4.6062192913332097E-14</v>
      </c>
      <c r="N36">
        <v>0</v>
      </c>
      <c r="O36">
        <f t="shared" si="2"/>
        <v>2.1217256159850216E-27</v>
      </c>
    </row>
    <row r="37" spans="12:15">
      <c r="L37">
        <v>13</v>
      </c>
      <c r="M37">
        <v>0.99983890578938261</v>
      </c>
      <c r="N37">
        <v>1</v>
      </c>
      <c r="O37">
        <f t="shared" si="2"/>
        <v>2.5951344694438449E-8</v>
      </c>
    </row>
    <row r="38" spans="12:15">
      <c r="L38">
        <v>14</v>
      </c>
      <c r="M38">
        <v>4.1903103286107367E-6</v>
      </c>
      <c r="N38">
        <v>0</v>
      </c>
      <c r="O38">
        <f t="shared" si="2"/>
        <v>1.7558700650061819E-11</v>
      </c>
    </row>
    <row r="39" spans="12:15">
      <c r="L39">
        <v>15</v>
      </c>
      <c r="M39">
        <v>4.602374764441799E-5</v>
      </c>
      <c r="N39">
        <v>0</v>
      </c>
      <c r="O39">
        <f t="shared" si="2"/>
        <v>2.1181853472370706E-9</v>
      </c>
    </row>
    <row r="40" spans="12:15">
      <c r="L40">
        <v>16</v>
      </c>
      <c r="M40">
        <v>0.99999999999996581</v>
      </c>
      <c r="N40">
        <v>1</v>
      </c>
      <c r="O40">
        <f t="shared" si="2"/>
        <v>1.1692890767638447E-27</v>
      </c>
    </row>
    <row r="42" spans="12:15">
      <c r="M42" s="11" t="s">
        <v>34</v>
      </c>
      <c r="N42" s="11"/>
    </row>
    <row r="43" spans="12:15">
      <c r="M43" s="11"/>
      <c r="N43" s="11"/>
      <c r="O43">
        <f>SUM(O25:O40)</f>
        <v>1.3198997418409466E-7</v>
      </c>
    </row>
  </sheetData>
  <mergeCells count="6">
    <mergeCell ref="H4:I4"/>
    <mergeCell ref="C5:F5"/>
    <mergeCell ref="L1:P2"/>
    <mergeCell ref="M42:N43"/>
    <mergeCell ref="L22:N23"/>
    <mergeCell ref="L14:L15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PARITY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Rajgopal</dc:creator>
  <cp:lastModifiedBy>Rajgopal</cp:lastModifiedBy>
  <dcterms:created xsi:type="dcterms:W3CDTF">2010-08-03T08:44:31Z</dcterms:created>
  <dcterms:modified xsi:type="dcterms:W3CDTF">2010-08-03T20:40:40Z</dcterms:modified>
</cp:coreProperties>
</file>