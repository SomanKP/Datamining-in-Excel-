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9420" windowHeight="5940" activeTab="1"/>
  </bookViews>
  <sheets>
    <sheet name="Preprocessing" sheetId="1" r:id="rId1"/>
    <sheet name="TRAINING AND TESTING" sheetId="2" r:id="rId2"/>
  </sheets>
  <definedNames>
    <definedName name="solver_adj" localSheetId="1" hidden="1">'TRAINING AND TESTING'!$I$12:$L$14,'TRAINING AND TESTING'!$K$18:$K$21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'TRAINING AND TESTING'!$R$16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24519" iterate="1" iterateCount="1"/>
</workbook>
</file>

<file path=xl/calcChain.xml><?xml version="1.0" encoding="utf-8"?>
<calcChain xmlns="http://schemas.openxmlformats.org/spreadsheetml/2006/main">
  <c r="K26" i="2"/>
  <c r="L7"/>
  <c r="K7"/>
  <c r="J7"/>
  <c r="Q7" l="1"/>
  <c r="M13" l="1"/>
  <c r="M14"/>
  <c r="M12"/>
  <c r="K23" l="1"/>
  <c r="P7" l="1"/>
  <c r="R7" s="1"/>
  <c r="R16" s="1"/>
  <c r="K29"/>
</calcChain>
</file>

<file path=xl/sharedStrings.xml><?xml version="1.0" encoding="utf-8"?>
<sst xmlns="http://schemas.openxmlformats.org/spreadsheetml/2006/main" count="84" uniqueCount="42">
  <si>
    <t>Explosive Chemistry</t>
  </si>
  <si>
    <t>Copyright (C) 1994, Cheshire Engineering Corp</t>
  </si>
  <si>
    <t>Inputs</t>
  </si>
  <si>
    <t>Target</t>
  </si>
  <si>
    <t>Mixture</t>
  </si>
  <si>
    <t>Pot. Nitrate</t>
  </si>
  <si>
    <t>Charcoal</t>
  </si>
  <si>
    <t>Sulfur</t>
  </si>
  <si>
    <t>Explode!</t>
  </si>
  <si>
    <t>MF</t>
  </si>
  <si>
    <t>FIZZLE</t>
  </si>
  <si>
    <t>BOOM!!</t>
  </si>
  <si>
    <t>FIZZLE,BOOM!!</t>
  </si>
  <si>
    <t>Pot.  Nitrate</t>
  </si>
  <si>
    <t>Sulphur</t>
  </si>
  <si>
    <t>obs</t>
  </si>
  <si>
    <t xml:space="preserve">bias </t>
  </si>
  <si>
    <t>w1</t>
  </si>
  <si>
    <t>w2</t>
  </si>
  <si>
    <t>w3</t>
  </si>
  <si>
    <t>bias</t>
  </si>
  <si>
    <t>HIDDEN LAYER</t>
  </si>
  <si>
    <t>OUTPUT LAYER</t>
  </si>
  <si>
    <t>means</t>
  </si>
  <si>
    <t>Response</t>
  </si>
  <si>
    <t>Actual</t>
  </si>
  <si>
    <t>Neuron 1</t>
  </si>
  <si>
    <t>Neuron 2</t>
  </si>
  <si>
    <t>Neuron 3</t>
  </si>
  <si>
    <t>TRAINING DATA</t>
  </si>
  <si>
    <t>Result</t>
  </si>
  <si>
    <t>Result Value</t>
  </si>
  <si>
    <t>Observation</t>
  </si>
  <si>
    <t>Obs. INDEX</t>
  </si>
  <si>
    <t>Expected</t>
  </si>
  <si>
    <t>TOTAL ERROR</t>
  </si>
  <si>
    <t>Error Square</t>
  </si>
  <si>
    <t>RESULT OF 
COMBINATION</t>
  </si>
  <si>
    <t>BOMB EXPLOSION PREDICTOR</t>
  </si>
  <si>
    <t>What if analysis datatable</t>
  </si>
  <si>
    <t>TESTING DATA</t>
  </si>
  <si>
    <t>BOMB EXPLOSION PREDICTOR(Preprocessing)</t>
  </si>
</sst>
</file>

<file path=xl/styles.xml><?xml version="1.0" encoding="utf-8"?>
<styleSheet xmlns="http://schemas.openxmlformats.org/spreadsheetml/2006/main">
  <fonts count="7">
    <font>
      <sz val="10"/>
      <name val="Helv"/>
    </font>
    <font>
      <b/>
      <sz val="10"/>
      <name val="Helv"/>
    </font>
    <font>
      <b/>
      <i/>
      <sz val="10"/>
      <name val="Helv"/>
    </font>
    <font>
      <b/>
      <sz val="10"/>
      <color rgb="FFFF0000"/>
      <name val="Helv"/>
    </font>
    <font>
      <sz val="10"/>
      <color rgb="FFFF0000"/>
      <name val="Helv"/>
    </font>
    <font>
      <b/>
      <sz val="14"/>
      <name val="Helv"/>
    </font>
    <font>
      <b/>
      <sz val="12"/>
      <name val="Helv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4" xfId="0" applyBorder="1"/>
    <xf numFmtId="0" fontId="6" fillId="5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504032</xdr:colOff>
      <xdr:row>3</xdr:row>
      <xdr:rowOff>86518</xdr:rowOff>
    </xdr:from>
    <xdr:to>
      <xdr:col>0</xdr:col>
      <xdr:colOff>505620</xdr:colOff>
      <xdr:row>4</xdr:row>
      <xdr:rowOff>105568</xdr:rowOff>
    </xdr:to>
    <xdr:cxnSp macro="">
      <xdr:nvCxnSpPr>
        <xdr:cNvPr id="7" name="Straight Arrow Connector 6"/>
        <xdr:cNvCxnSpPr/>
      </xdr:nvCxnSpPr>
      <xdr:spPr>
        <a:xfrm rot="5400000">
          <a:off x="414338" y="661987"/>
          <a:ext cx="1809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3</xdr:row>
      <xdr:rowOff>95250</xdr:rowOff>
    </xdr:from>
    <xdr:to>
      <xdr:col>8</xdr:col>
      <xdr:colOff>419100</xdr:colOff>
      <xdr:row>3</xdr:row>
      <xdr:rowOff>96838</xdr:rowOff>
    </xdr:to>
    <xdr:cxnSp macro="">
      <xdr:nvCxnSpPr>
        <xdr:cNvPr id="9" name="Straight Connector 8"/>
        <xdr:cNvCxnSpPr/>
      </xdr:nvCxnSpPr>
      <xdr:spPr>
        <a:xfrm>
          <a:off x="504825" y="581025"/>
          <a:ext cx="55149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418307</xdr:colOff>
      <xdr:row>3</xdr:row>
      <xdr:rowOff>105568</xdr:rowOff>
    </xdr:from>
    <xdr:to>
      <xdr:col>8</xdr:col>
      <xdr:colOff>419895</xdr:colOff>
      <xdr:row>4</xdr:row>
      <xdr:rowOff>143668</xdr:rowOff>
    </xdr:to>
    <xdr:cxnSp macro="">
      <xdr:nvCxnSpPr>
        <xdr:cNvPr id="11" name="Straight Connector 10"/>
        <xdr:cNvCxnSpPr/>
      </xdr:nvCxnSpPr>
      <xdr:spPr>
        <a:xfrm rot="5400000">
          <a:off x="5919788" y="690562"/>
          <a:ext cx="200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7</xdr:row>
      <xdr:rowOff>66675</xdr:rowOff>
    </xdr:from>
    <xdr:to>
      <xdr:col>10</xdr:col>
      <xdr:colOff>66675</xdr:colOff>
      <xdr:row>8</xdr:row>
      <xdr:rowOff>104775</xdr:rowOff>
    </xdr:to>
    <xdr:sp macro="" textlink="">
      <xdr:nvSpPr>
        <xdr:cNvPr id="12" name="Down Arrow 11"/>
        <xdr:cNvSpPr/>
      </xdr:nvSpPr>
      <xdr:spPr>
        <a:xfrm>
          <a:off x="7010400" y="1200150"/>
          <a:ext cx="180975" cy="200025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561975</xdr:colOff>
      <xdr:row>14</xdr:row>
      <xdr:rowOff>66675</xdr:rowOff>
    </xdr:from>
    <xdr:to>
      <xdr:col>10</xdr:col>
      <xdr:colOff>76200</xdr:colOff>
      <xdr:row>15</xdr:row>
      <xdr:rowOff>104775</xdr:rowOff>
    </xdr:to>
    <xdr:sp macro="" textlink="">
      <xdr:nvSpPr>
        <xdr:cNvPr id="13" name="Down Arrow 12"/>
        <xdr:cNvSpPr/>
      </xdr:nvSpPr>
      <xdr:spPr>
        <a:xfrm>
          <a:off x="7019925" y="2333625"/>
          <a:ext cx="180975" cy="200025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590550</xdr:colOff>
      <xdr:row>21</xdr:row>
      <xdr:rowOff>9525</xdr:rowOff>
    </xdr:from>
    <xdr:to>
      <xdr:col>10</xdr:col>
      <xdr:colOff>85725</xdr:colOff>
      <xdr:row>21</xdr:row>
      <xdr:rowOff>152400</xdr:rowOff>
    </xdr:to>
    <xdr:sp macro="" textlink="">
      <xdr:nvSpPr>
        <xdr:cNvPr id="14" name="Down Arrow 13"/>
        <xdr:cNvSpPr/>
      </xdr:nvSpPr>
      <xdr:spPr>
        <a:xfrm>
          <a:off x="7000875" y="3429000"/>
          <a:ext cx="228600" cy="142875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28575</xdr:colOff>
      <xdr:row>18</xdr:row>
      <xdr:rowOff>19050</xdr:rowOff>
    </xdr:from>
    <xdr:to>
      <xdr:col>17</xdr:col>
      <xdr:colOff>914400</xdr:colOff>
      <xdr:row>20</xdr:row>
      <xdr:rowOff>28575</xdr:rowOff>
    </xdr:to>
    <xdr:sp macro="" textlink="">
      <xdr:nvSpPr>
        <xdr:cNvPr id="15" name="Rectangle 14"/>
        <xdr:cNvSpPr/>
      </xdr:nvSpPr>
      <xdr:spPr>
        <a:xfrm>
          <a:off x="10820400" y="2952750"/>
          <a:ext cx="1724025" cy="3333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Our</a:t>
          </a:r>
          <a:r>
            <a:rPr lang="en-US" sz="1100" baseline="0"/>
            <a:t>  objective is to mimimize this error</a:t>
          </a:r>
          <a:endParaRPr lang="en-US" sz="1100"/>
        </a:p>
      </xdr:txBody>
    </xdr:sp>
    <xdr:clientData/>
  </xdr:twoCellAnchor>
  <xdr:twoCellAnchor>
    <xdr:from>
      <xdr:col>17</xdr:col>
      <xdr:colOff>409575</xdr:colOff>
      <xdr:row>16</xdr:row>
      <xdr:rowOff>28575</xdr:rowOff>
    </xdr:from>
    <xdr:to>
      <xdr:col>17</xdr:col>
      <xdr:colOff>523875</xdr:colOff>
      <xdr:row>17</xdr:row>
      <xdr:rowOff>142875</xdr:rowOff>
    </xdr:to>
    <xdr:sp macro="" textlink="">
      <xdr:nvSpPr>
        <xdr:cNvPr id="16" name="Down Arrow 15"/>
        <xdr:cNvSpPr/>
      </xdr:nvSpPr>
      <xdr:spPr>
        <a:xfrm>
          <a:off x="12039600" y="2638425"/>
          <a:ext cx="114300" cy="276225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561975</xdr:colOff>
      <xdr:row>3</xdr:row>
      <xdr:rowOff>28576</xdr:rowOff>
    </xdr:from>
    <xdr:to>
      <xdr:col>13</xdr:col>
      <xdr:colOff>104776</xdr:colOff>
      <xdr:row>4</xdr:row>
      <xdr:rowOff>114301</xdr:rowOff>
    </xdr:to>
    <xdr:sp macro="" textlink="">
      <xdr:nvSpPr>
        <xdr:cNvPr id="17" name="Rectangle 16"/>
        <xdr:cNvSpPr/>
      </xdr:nvSpPr>
      <xdr:spPr>
        <a:xfrm>
          <a:off x="7705725" y="514351"/>
          <a:ext cx="1533526" cy="2476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Inputting</a:t>
          </a:r>
          <a:r>
            <a:rPr lang="en-US" sz="1100" baseline="0"/>
            <a:t> Feature data</a:t>
          </a:r>
          <a:endParaRPr lang="en-US" sz="1100"/>
        </a:p>
      </xdr:txBody>
    </xdr:sp>
    <xdr:clientData/>
  </xdr:twoCellAnchor>
  <xdr:twoCellAnchor>
    <xdr:from>
      <xdr:col>11</xdr:col>
      <xdr:colOff>9524</xdr:colOff>
      <xdr:row>14</xdr:row>
      <xdr:rowOff>9526</xdr:rowOff>
    </xdr:from>
    <xdr:to>
      <xdr:col>13</xdr:col>
      <xdr:colOff>276224</xdr:colOff>
      <xdr:row>15</xdr:row>
      <xdr:rowOff>85726</xdr:rowOff>
    </xdr:to>
    <xdr:sp macro="" textlink="">
      <xdr:nvSpPr>
        <xdr:cNvPr id="26" name="Rectangle 25"/>
        <xdr:cNvSpPr/>
      </xdr:nvSpPr>
      <xdr:spPr>
        <a:xfrm>
          <a:off x="7781924" y="2276476"/>
          <a:ext cx="1628775" cy="2476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Middle layer weights</a:t>
          </a:r>
        </a:p>
      </xdr:txBody>
    </xdr:sp>
    <xdr:clientData/>
  </xdr:twoCellAnchor>
  <xdr:twoCellAnchor>
    <xdr:from>
      <xdr:col>11</xdr:col>
      <xdr:colOff>9524</xdr:colOff>
      <xdr:row>19</xdr:row>
      <xdr:rowOff>28576</xdr:rowOff>
    </xdr:from>
    <xdr:to>
      <xdr:col>13</xdr:col>
      <xdr:colOff>295274</xdr:colOff>
      <xdr:row>20</xdr:row>
      <xdr:rowOff>114301</xdr:rowOff>
    </xdr:to>
    <xdr:sp macro="" textlink="">
      <xdr:nvSpPr>
        <xdr:cNvPr id="32" name="Rectangle 31"/>
        <xdr:cNvSpPr/>
      </xdr:nvSpPr>
      <xdr:spPr>
        <a:xfrm>
          <a:off x="7781924" y="3124201"/>
          <a:ext cx="1647825" cy="2476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Output layer weights</a:t>
          </a:r>
        </a:p>
      </xdr:txBody>
    </xdr:sp>
    <xdr:clientData/>
  </xdr:twoCellAnchor>
  <xdr:twoCellAnchor>
    <xdr:from>
      <xdr:col>11</xdr:col>
      <xdr:colOff>19049</xdr:colOff>
      <xdr:row>21</xdr:row>
      <xdr:rowOff>85726</xdr:rowOff>
    </xdr:from>
    <xdr:to>
      <xdr:col>15</xdr:col>
      <xdr:colOff>762000</xdr:colOff>
      <xdr:row>23</xdr:row>
      <xdr:rowOff>104775</xdr:rowOff>
    </xdr:to>
    <xdr:sp macro="" textlink="">
      <xdr:nvSpPr>
        <xdr:cNvPr id="33" name="Rectangle 32"/>
        <xdr:cNvSpPr/>
      </xdr:nvSpPr>
      <xdr:spPr>
        <a:xfrm>
          <a:off x="7791449" y="3505201"/>
          <a:ext cx="2790826" cy="342899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=1/(1+exp((-1) *</a:t>
          </a:r>
          <a:r>
            <a:rPr lang="en-US" sz="1100" baseline="0"/>
            <a:t> bias +sumproduct(response of hidden layer, output weights)))</a:t>
          </a:r>
          <a:endParaRPr lang="en-US" sz="1100"/>
        </a:p>
      </xdr:txBody>
    </xdr:sp>
    <xdr:clientData/>
  </xdr:twoCellAnchor>
  <xdr:twoCellAnchor>
    <xdr:from>
      <xdr:col>11</xdr:col>
      <xdr:colOff>19048</xdr:colOff>
      <xdr:row>24</xdr:row>
      <xdr:rowOff>57151</xdr:rowOff>
    </xdr:from>
    <xdr:to>
      <xdr:col>15</xdr:col>
      <xdr:colOff>771524</xdr:colOff>
      <xdr:row>26</xdr:row>
      <xdr:rowOff>57150</xdr:rowOff>
    </xdr:to>
    <xdr:sp macro="" textlink="">
      <xdr:nvSpPr>
        <xdr:cNvPr id="34" name="Rectangle 33"/>
        <xdr:cNvSpPr/>
      </xdr:nvSpPr>
      <xdr:spPr>
        <a:xfrm>
          <a:off x="7791448" y="3962401"/>
          <a:ext cx="2800351" cy="31432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Expected</a:t>
          </a:r>
          <a:r>
            <a:rPr lang="en-US" sz="1100" baseline="0"/>
            <a:t> ouput (which is actual output of ecperiments)</a:t>
          </a:r>
          <a:endParaRPr lang="en-US" sz="1100"/>
        </a:p>
      </xdr:txBody>
    </xdr:sp>
    <xdr:clientData/>
  </xdr:twoCellAnchor>
  <xdr:twoCellAnchor>
    <xdr:from>
      <xdr:col>7</xdr:col>
      <xdr:colOff>733426</xdr:colOff>
      <xdr:row>44</xdr:row>
      <xdr:rowOff>66676</xdr:rowOff>
    </xdr:from>
    <xdr:to>
      <xdr:col>8</xdr:col>
      <xdr:colOff>123826</xdr:colOff>
      <xdr:row>45</xdr:row>
      <xdr:rowOff>76201</xdr:rowOff>
    </xdr:to>
    <xdr:sp macro="" textlink="">
      <xdr:nvSpPr>
        <xdr:cNvPr id="44" name="Down Arrow 43"/>
        <xdr:cNvSpPr/>
      </xdr:nvSpPr>
      <xdr:spPr>
        <a:xfrm>
          <a:off x="5800726" y="7410451"/>
          <a:ext cx="247650" cy="171450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771525</xdr:colOff>
      <xdr:row>51</xdr:row>
      <xdr:rowOff>28576</xdr:rowOff>
    </xdr:from>
    <xdr:to>
      <xdr:col>8</xdr:col>
      <xdr:colOff>133350</xdr:colOff>
      <xdr:row>51</xdr:row>
      <xdr:rowOff>142876</xdr:rowOff>
    </xdr:to>
    <xdr:sp macro="" textlink="">
      <xdr:nvSpPr>
        <xdr:cNvPr id="45" name="Down Arrow 44"/>
        <xdr:cNvSpPr/>
      </xdr:nvSpPr>
      <xdr:spPr>
        <a:xfrm>
          <a:off x="5838825" y="8505826"/>
          <a:ext cx="219075" cy="114300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</xdr:rowOff>
    </xdr:from>
    <xdr:to>
      <xdr:col>1</xdr:col>
      <xdr:colOff>161925</xdr:colOff>
      <xdr:row>22</xdr:row>
      <xdr:rowOff>142875</xdr:rowOff>
    </xdr:to>
    <xdr:sp macro="" textlink="">
      <xdr:nvSpPr>
        <xdr:cNvPr id="18" name="Rectangle 17"/>
        <xdr:cNvSpPr/>
      </xdr:nvSpPr>
      <xdr:spPr>
        <a:xfrm>
          <a:off x="0" y="3419476"/>
          <a:ext cx="990600" cy="304799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Testing</a:t>
          </a:r>
          <a:r>
            <a:rPr lang="en-US" sz="1100" baseline="0"/>
            <a:t> Data</a:t>
          </a:r>
        </a:p>
      </xdr:txBody>
    </xdr:sp>
    <xdr:clientData/>
  </xdr:twoCellAnchor>
  <xdr:twoCellAnchor>
    <xdr:from>
      <xdr:col>0</xdr:col>
      <xdr:colOff>228600</xdr:colOff>
      <xdr:row>18</xdr:row>
      <xdr:rowOff>133350</xdr:rowOff>
    </xdr:from>
    <xdr:to>
      <xdr:col>0</xdr:col>
      <xdr:colOff>600075</xdr:colOff>
      <xdr:row>20</xdr:row>
      <xdr:rowOff>19050</xdr:rowOff>
    </xdr:to>
    <xdr:sp macro="" textlink="">
      <xdr:nvSpPr>
        <xdr:cNvPr id="19" name="Down Arrow 18"/>
        <xdr:cNvSpPr/>
      </xdr:nvSpPr>
      <xdr:spPr>
        <a:xfrm>
          <a:off x="228600" y="3067050"/>
          <a:ext cx="371475" cy="209550"/>
        </a:xfrm>
        <a:prstGeom prst="down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85725</xdr:colOff>
      <xdr:row>4</xdr:row>
      <xdr:rowOff>104776</xdr:rowOff>
    </xdr:from>
    <xdr:to>
      <xdr:col>7</xdr:col>
      <xdr:colOff>800100</xdr:colOff>
      <xdr:row>8</xdr:row>
      <xdr:rowOff>0</xdr:rowOff>
    </xdr:to>
    <xdr:sp macro="" textlink="">
      <xdr:nvSpPr>
        <xdr:cNvPr id="20" name="Rectangle 19"/>
        <xdr:cNvSpPr/>
      </xdr:nvSpPr>
      <xdr:spPr>
        <a:xfrm>
          <a:off x="4676775" y="752476"/>
          <a:ext cx="990600" cy="542924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aseline="0"/>
            <a:t>For  testing put index as 9 or 10 or 11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21"/>
  <sheetViews>
    <sheetView workbookViewId="0">
      <selection activeCell="W3" sqref="W3"/>
    </sheetView>
  </sheetViews>
  <sheetFormatPr defaultRowHeight="12.75"/>
  <cols>
    <col min="1" max="1" width="10.28515625" style="1" bestFit="1" customWidth="1"/>
    <col min="2" max="2" width="2.7109375" style="1" customWidth="1"/>
    <col min="3" max="3" width="14.42578125" style="1" bestFit="1" customWidth="1"/>
    <col min="4" max="4" width="12.140625" style="1" bestFit="1" customWidth="1"/>
    <col min="5" max="5" width="8.85546875" style="1" bestFit="1" customWidth="1"/>
    <col min="6" max="6" width="2.7109375" style="1" customWidth="1"/>
    <col min="7" max="7" width="14.28515625" style="1" bestFit="1" customWidth="1"/>
    <col min="8" max="8" width="2.7109375" style="1" customWidth="1"/>
    <col min="9" max="9" width="17.28515625" style="1" customWidth="1"/>
    <col min="10" max="10" width="2.7109375" style="1" customWidth="1"/>
    <col min="11" max="16384" width="9.140625" style="1"/>
  </cols>
  <sheetData>
    <row r="1" spans="1:23">
      <c r="B1" s="2"/>
      <c r="C1" s="2"/>
      <c r="D1" s="2"/>
      <c r="E1" s="2"/>
      <c r="F1" s="2"/>
      <c r="G1" s="2"/>
      <c r="H1" s="2"/>
      <c r="I1" s="2"/>
    </row>
    <row r="2" spans="1:23">
      <c r="A2" s="19" t="s">
        <v>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W2" s="16" t="s">
        <v>0</v>
      </c>
    </row>
    <row r="3" spans="1:2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W3" s="16" t="s">
        <v>1</v>
      </c>
    </row>
    <row r="4" spans="1:23">
      <c r="A4" s="2"/>
      <c r="B4" s="2"/>
      <c r="C4" s="2"/>
      <c r="D4" s="2"/>
      <c r="E4" s="2"/>
      <c r="F4" s="2"/>
      <c r="G4" s="2"/>
      <c r="H4" s="2"/>
      <c r="I4" s="2"/>
    </row>
    <row r="5" spans="1:23">
      <c r="A5" s="20" t="s">
        <v>29</v>
      </c>
      <c r="B5" s="20"/>
      <c r="C5" s="20"/>
      <c r="D5" s="20"/>
      <c r="E5" s="20"/>
      <c r="F5" s="20"/>
      <c r="G5" s="20"/>
      <c r="H5" s="20"/>
      <c r="I5" s="20"/>
    </row>
    <row r="6" spans="1:23">
      <c r="A6" s="17"/>
      <c r="B6" s="17"/>
      <c r="C6" s="17" t="s">
        <v>2</v>
      </c>
      <c r="D6" s="17"/>
      <c r="E6" s="17"/>
      <c r="F6" s="17"/>
      <c r="G6" s="17" t="s">
        <v>3</v>
      </c>
      <c r="H6" s="17"/>
      <c r="I6" s="17"/>
    </row>
    <row r="7" spans="1:23">
      <c r="A7" s="17" t="s">
        <v>4</v>
      </c>
      <c r="B7" s="17"/>
      <c r="C7" s="17" t="s">
        <v>5</v>
      </c>
      <c r="D7" s="17" t="s">
        <v>6</v>
      </c>
      <c r="E7" s="17" t="s">
        <v>7</v>
      </c>
      <c r="F7" s="17"/>
      <c r="G7" s="17" t="s">
        <v>8</v>
      </c>
      <c r="H7" s="17"/>
      <c r="I7" s="17" t="s">
        <v>9</v>
      </c>
    </row>
    <row r="8" spans="1:23">
      <c r="A8" s="6">
        <v>1</v>
      </c>
      <c r="B8" s="6"/>
      <c r="C8" s="7">
        <v>0.2</v>
      </c>
      <c r="D8" s="7">
        <v>0.4</v>
      </c>
      <c r="E8" s="7">
        <v>0.4</v>
      </c>
      <c r="F8" s="7"/>
      <c r="G8" s="7" t="s">
        <v>10</v>
      </c>
      <c r="H8" s="7"/>
      <c r="I8" s="7" t="s">
        <v>29</v>
      </c>
    </row>
    <row r="9" spans="1:23">
      <c r="A9" s="6">
        <v>2</v>
      </c>
      <c r="B9" s="6"/>
      <c r="C9" s="7">
        <v>0.4</v>
      </c>
      <c r="D9" s="7">
        <v>0.4</v>
      </c>
      <c r="E9" s="7">
        <v>0.2</v>
      </c>
      <c r="F9" s="7"/>
      <c r="G9" s="7" t="s">
        <v>10</v>
      </c>
      <c r="H9" s="7"/>
      <c r="I9" s="7" t="s">
        <v>29</v>
      </c>
    </row>
    <row r="10" spans="1:23">
      <c r="A10" s="6">
        <v>3</v>
      </c>
      <c r="B10" s="6"/>
      <c r="C10" s="7">
        <v>0.6</v>
      </c>
      <c r="D10" s="7">
        <v>0.3</v>
      </c>
      <c r="E10" s="7">
        <v>0.1</v>
      </c>
      <c r="F10" s="7"/>
      <c r="G10" s="7" t="s">
        <v>10</v>
      </c>
      <c r="H10" s="7"/>
      <c r="I10" s="7" t="s">
        <v>29</v>
      </c>
    </row>
    <row r="11" spans="1:23">
      <c r="A11" s="6">
        <v>4</v>
      </c>
      <c r="B11" s="6"/>
      <c r="C11" s="7">
        <v>0.7</v>
      </c>
      <c r="D11" s="7">
        <v>0.1</v>
      </c>
      <c r="E11" s="7">
        <v>0.2</v>
      </c>
      <c r="F11" s="7"/>
      <c r="G11" s="7" t="s">
        <v>11</v>
      </c>
      <c r="H11" s="7"/>
      <c r="I11" s="7" t="s">
        <v>29</v>
      </c>
    </row>
    <row r="12" spans="1:23">
      <c r="A12" s="6">
        <v>5</v>
      </c>
      <c r="B12" s="6"/>
      <c r="C12" s="7">
        <v>0.7</v>
      </c>
      <c r="D12" s="7">
        <v>0.05</v>
      </c>
      <c r="E12" s="7">
        <v>0.25</v>
      </c>
      <c r="F12" s="7"/>
      <c r="G12" s="7" t="s">
        <v>10</v>
      </c>
      <c r="H12" s="7"/>
      <c r="I12" s="7" t="s">
        <v>29</v>
      </c>
    </row>
    <row r="13" spans="1:23">
      <c r="A13" s="6">
        <v>6</v>
      </c>
      <c r="B13" s="6"/>
      <c r="C13" s="7">
        <v>0.75</v>
      </c>
      <c r="D13" s="7">
        <v>0.2</v>
      </c>
      <c r="E13" s="7">
        <v>0.05</v>
      </c>
      <c r="F13" s="7"/>
      <c r="G13" s="7" t="s">
        <v>10</v>
      </c>
      <c r="H13" s="7"/>
      <c r="I13" s="7" t="s">
        <v>29</v>
      </c>
    </row>
    <row r="14" spans="1:23">
      <c r="A14" s="6">
        <v>7</v>
      </c>
      <c r="B14" s="6"/>
      <c r="C14" s="7">
        <v>0.8</v>
      </c>
      <c r="D14" s="7">
        <v>0.1</v>
      </c>
      <c r="E14" s="7">
        <v>0.1</v>
      </c>
      <c r="F14" s="7"/>
      <c r="G14" s="7" t="s">
        <v>11</v>
      </c>
      <c r="H14" s="7"/>
      <c r="I14" s="7" t="s">
        <v>29</v>
      </c>
    </row>
    <row r="15" spans="1:23">
      <c r="A15" s="6">
        <v>8</v>
      </c>
      <c r="B15" s="6"/>
      <c r="C15" s="7">
        <v>0.9</v>
      </c>
      <c r="D15" s="7">
        <v>0.05</v>
      </c>
      <c r="E15" s="7">
        <v>0.05</v>
      </c>
      <c r="F15" s="7"/>
      <c r="G15" s="7" t="s">
        <v>10</v>
      </c>
      <c r="H15" s="7"/>
      <c r="I15" s="7" t="s">
        <v>29</v>
      </c>
    </row>
    <row r="17" spans="1:9">
      <c r="A17" s="20" t="s">
        <v>40</v>
      </c>
      <c r="B17" s="20"/>
      <c r="C17" s="20"/>
      <c r="D17" s="20"/>
      <c r="E17" s="20"/>
      <c r="F17" s="20"/>
      <c r="G17" s="20"/>
      <c r="H17" s="20"/>
      <c r="I17" s="20"/>
    </row>
    <row r="18" spans="1:9" ht="15" customHeight="1">
      <c r="A18" s="6">
        <v>1</v>
      </c>
      <c r="B18" s="6"/>
      <c r="C18" s="7">
        <v>0.7</v>
      </c>
      <c r="D18" s="7">
        <v>0.3</v>
      </c>
      <c r="E18" s="7">
        <v>0</v>
      </c>
      <c r="F18" s="7"/>
      <c r="G18" s="7" t="s">
        <v>10</v>
      </c>
      <c r="H18" s="7"/>
      <c r="I18" s="7" t="s">
        <v>40</v>
      </c>
    </row>
    <row r="19" spans="1:9">
      <c r="A19" s="6">
        <v>2</v>
      </c>
      <c r="B19" s="6"/>
      <c r="C19" s="7">
        <v>0.75</v>
      </c>
      <c r="D19" s="7">
        <v>0.1</v>
      </c>
      <c r="E19" s="7">
        <v>0.15</v>
      </c>
      <c r="F19" s="7"/>
      <c r="G19" s="7" t="s">
        <v>11</v>
      </c>
      <c r="H19" s="7"/>
      <c r="I19" s="7" t="s">
        <v>40</v>
      </c>
    </row>
    <row r="20" spans="1:9">
      <c r="A20" s="6">
        <v>3</v>
      </c>
      <c r="B20" s="6"/>
      <c r="C20" s="7">
        <v>0.95</v>
      </c>
      <c r="D20" s="7">
        <v>2.5000000000000001E-2</v>
      </c>
      <c r="E20" s="7">
        <v>2.5000000000000001E-2</v>
      </c>
      <c r="F20" s="7"/>
      <c r="G20" s="7" t="s">
        <v>10</v>
      </c>
      <c r="H20" s="7"/>
      <c r="I20" s="7" t="s">
        <v>40</v>
      </c>
    </row>
    <row r="21" spans="1:9">
      <c r="A21" s="7"/>
      <c r="B21" s="7"/>
      <c r="C21" s="7"/>
      <c r="D21" s="7"/>
      <c r="E21" s="7"/>
      <c r="F21" s="7"/>
      <c r="G21" s="7" t="s">
        <v>12</v>
      </c>
      <c r="H21" s="7"/>
      <c r="I21" s="7" t="s">
        <v>40</v>
      </c>
    </row>
  </sheetData>
  <mergeCells count="3">
    <mergeCell ref="A2:T3"/>
    <mergeCell ref="A5:I5"/>
    <mergeCell ref="A17:I17"/>
  </mergeCells>
  <printOptions headings="1" gridLines="1" gridLinesSet="0"/>
  <pageMargins left="0.75" right="0.75" top="1" bottom="1" header="0.5" footer="0.5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2:R29"/>
  <sheetViews>
    <sheetView tabSelected="1" workbookViewId="0">
      <selection activeCell="D25" sqref="D25"/>
    </sheetView>
  </sheetViews>
  <sheetFormatPr defaultRowHeight="12.75"/>
  <cols>
    <col min="1" max="1" width="12.42578125" style="1" customWidth="1"/>
    <col min="2" max="2" width="12.85546875" style="1" bestFit="1" customWidth="1"/>
    <col min="3" max="3" width="11" style="1" customWidth="1"/>
    <col min="4" max="4" width="10" style="1" customWidth="1"/>
    <col min="5" max="5" width="9.28515625" style="1" customWidth="1"/>
    <col min="6" max="6" width="13.28515625" style="1" customWidth="1"/>
    <col min="7" max="7" width="4.140625" style="1" customWidth="1"/>
    <col min="8" max="10" width="12.85546875" style="1" bestFit="1" customWidth="1"/>
    <col min="11" max="12" width="12.5703125" style="1" bestFit="1" customWidth="1"/>
    <col min="13" max="13" width="12" style="1" bestFit="1" customWidth="1"/>
    <col min="14" max="14" width="4.42578125" style="1" customWidth="1"/>
    <col min="15" max="15" width="5.85546875" style="1" customWidth="1"/>
    <col min="16" max="16" width="14.5703125" style="1" customWidth="1"/>
    <col min="17" max="17" width="12.5703125" style="1" customWidth="1"/>
    <col min="18" max="18" width="14" style="1" bestFit="1" customWidth="1"/>
    <col min="19" max="16384" width="9.140625" style="1"/>
  </cols>
  <sheetData>
    <row r="2" spans="1:18">
      <c r="A2" s="25" t="s">
        <v>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5" spans="1:18">
      <c r="O5" s="24" t="s">
        <v>39</v>
      </c>
      <c r="P5" s="24"/>
      <c r="Q5" s="24"/>
      <c r="R5" s="24"/>
    </row>
    <row r="6" spans="1:18">
      <c r="A6" s="21" t="s">
        <v>29</v>
      </c>
      <c r="B6" s="22"/>
      <c r="C6" s="22"/>
      <c r="D6" s="22"/>
      <c r="E6" s="22"/>
      <c r="F6" s="23"/>
      <c r="I6" s="9" t="s">
        <v>33</v>
      </c>
      <c r="J6" s="10" t="s">
        <v>13</v>
      </c>
      <c r="K6" s="10" t="s">
        <v>6</v>
      </c>
      <c r="L6" s="10" t="s">
        <v>14</v>
      </c>
      <c r="O6" s="6" t="s">
        <v>15</v>
      </c>
      <c r="P6" s="6" t="s">
        <v>25</v>
      </c>
      <c r="Q6" s="6" t="s">
        <v>34</v>
      </c>
      <c r="R6" s="6" t="s">
        <v>36</v>
      </c>
    </row>
    <row r="7" spans="1:18">
      <c r="A7" s="10" t="s">
        <v>32</v>
      </c>
      <c r="B7" s="10" t="s">
        <v>13</v>
      </c>
      <c r="C7" s="10" t="s">
        <v>6</v>
      </c>
      <c r="D7" s="10" t="s">
        <v>14</v>
      </c>
      <c r="E7" s="10" t="s">
        <v>30</v>
      </c>
      <c r="F7" s="10" t="s">
        <v>31</v>
      </c>
      <c r="I7" s="7">
        <v>10</v>
      </c>
      <c r="J7" s="11">
        <f>INDEX($B$8:$D$18,$I$7,1)</f>
        <v>0.75</v>
      </c>
      <c r="K7" s="11">
        <f>INDEX($B$8:$D$18,$I$7,2)</f>
        <v>0.1</v>
      </c>
      <c r="L7" s="11">
        <f>INDEX($B$8:$D$18,$I$7,3)</f>
        <v>0.15</v>
      </c>
      <c r="O7" s="7">
        <v>1</v>
      </c>
      <c r="P7" s="7">
        <f>K23</f>
        <v>0.99999529848051949</v>
      </c>
      <c r="Q7" s="7">
        <f>K26</f>
        <v>1</v>
      </c>
      <c r="R7" s="7">
        <f>IFERROR((P7-Q7)^2,9999999999)</f>
        <v>2.2104285425615097E-11</v>
      </c>
    </row>
    <row r="8" spans="1:18">
      <c r="A8" s="12">
        <v>1</v>
      </c>
      <c r="B8" s="7">
        <v>0.2</v>
      </c>
      <c r="C8" s="7">
        <v>0.4</v>
      </c>
      <c r="D8" s="7">
        <v>0.4</v>
      </c>
      <c r="E8" s="7" t="s">
        <v>10</v>
      </c>
      <c r="F8" s="7">
        <v>0</v>
      </c>
      <c r="O8" s="7">
        <v>2</v>
      </c>
      <c r="P8" s="7">
        <f t="dataTable" ref="P8:R14" dt2D="0" dtr="0" r1="I7"/>
        <v>3.7333660991237469E-6</v>
      </c>
      <c r="Q8" s="7">
        <v>0</v>
      </c>
      <c r="R8" s="7">
        <v>1.3938022430086463E-11</v>
      </c>
    </row>
    <row r="9" spans="1:18">
      <c r="A9" s="12">
        <v>2</v>
      </c>
      <c r="B9" s="7">
        <v>0.4</v>
      </c>
      <c r="C9" s="7">
        <v>0.4</v>
      </c>
      <c r="D9" s="7">
        <v>0.2</v>
      </c>
      <c r="E9" s="7" t="s">
        <v>10</v>
      </c>
      <c r="F9" s="7">
        <v>0</v>
      </c>
      <c r="I9" s="5"/>
      <c r="J9" s="5"/>
      <c r="O9" s="7">
        <v>3</v>
      </c>
      <c r="P9" s="7">
        <v>3.7333664120354914E-6</v>
      </c>
      <c r="Q9" s="7">
        <v>0</v>
      </c>
      <c r="R9" s="7">
        <v>1.3938024766514759E-11</v>
      </c>
    </row>
    <row r="10" spans="1:18">
      <c r="A10" s="12">
        <v>3</v>
      </c>
      <c r="B10" s="7">
        <v>0.6</v>
      </c>
      <c r="C10" s="7">
        <v>0.3</v>
      </c>
      <c r="D10" s="7">
        <v>0.1</v>
      </c>
      <c r="E10" s="7" t="s">
        <v>10</v>
      </c>
      <c r="F10" s="7">
        <v>0</v>
      </c>
      <c r="H10" s="21" t="s">
        <v>21</v>
      </c>
      <c r="I10" s="22"/>
      <c r="J10" s="22"/>
      <c r="K10" s="22"/>
      <c r="L10" s="22"/>
      <c r="M10" s="23"/>
      <c r="O10" s="7">
        <v>4</v>
      </c>
      <c r="P10" s="7">
        <v>0.99999530544034476</v>
      </c>
      <c r="Q10" s="7">
        <v>1</v>
      </c>
      <c r="R10" s="7">
        <v>2.2038890356591621E-11</v>
      </c>
    </row>
    <row r="11" spans="1:18">
      <c r="A11" s="12">
        <v>4</v>
      </c>
      <c r="B11" s="7">
        <v>0.7</v>
      </c>
      <c r="C11" s="7">
        <v>0.1</v>
      </c>
      <c r="D11" s="7">
        <v>0.2</v>
      </c>
      <c r="E11" s="7" t="s">
        <v>11</v>
      </c>
      <c r="F11" s="7">
        <v>1</v>
      </c>
      <c r="H11" s="12"/>
      <c r="I11" s="10" t="s">
        <v>16</v>
      </c>
      <c r="J11" s="10" t="s">
        <v>17</v>
      </c>
      <c r="K11" s="10" t="s">
        <v>18</v>
      </c>
      <c r="L11" s="10" t="s">
        <v>19</v>
      </c>
      <c r="M11" s="10" t="s">
        <v>24</v>
      </c>
      <c r="O11" s="7">
        <v>5</v>
      </c>
      <c r="P11" s="7">
        <v>4.0063695332481598E-15</v>
      </c>
      <c r="Q11" s="7">
        <v>0</v>
      </c>
      <c r="R11" s="7">
        <v>1.6050996836939079E-29</v>
      </c>
    </row>
    <row r="12" spans="1:18">
      <c r="A12" s="12">
        <v>5</v>
      </c>
      <c r="B12" s="7">
        <v>0.7</v>
      </c>
      <c r="C12" s="7">
        <v>0.05</v>
      </c>
      <c r="D12" s="7">
        <v>0.25</v>
      </c>
      <c r="E12" s="7" t="s">
        <v>10</v>
      </c>
      <c r="F12" s="7">
        <v>0</v>
      </c>
      <c r="H12" s="10" t="s">
        <v>26</v>
      </c>
      <c r="I12" s="18">
        <v>-1.1353293014281607</v>
      </c>
      <c r="J12" s="18">
        <v>23.575399373872273</v>
      </c>
      <c r="K12" s="18">
        <v>-151.20934839433525</v>
      </c>
      <c r="L12" s="18">
        <v>128.49624119943238</v>
      </c>
      <c r="M12" s="7">
        <f>1/(1+EXP(-(I12+SUMPRODUCT(J12:L12,$J$7:$L$7))))</f>
        <v>0.99999999897617631</v>
      </c>
      <c r="O12" s="7">
        <v>6</v>
      </c>
      <c r="P12" s="7">
        <v>3.7981911714659373E-6</v>
      </c>
      <c r="Q12" s="7">
        <v>0</v>
      </c>
      <c r="R12" s="7">
        <v>1.4426256175001789E-11</v>
      </c>
    </row>
    <row r="13" spans="1:18">
      <c r="A13" s="12">
        <v>6</v>
      </c>
      <c r="B13" s="7">
        <v>0.75</v>
      </c>
      <c r="C13" s="7">
        <v>0.2</v>
      </c>
      <c r="D13" s="7">
        <v>0.05</v>
      </c>
      <c r="E13" s="7" t="s">
        <v>10</v>
      </c>
      <c r="F13" s="7">
        <v>0</v>
      </c>
      <c r="H13" s="10" t="s">
        <v>27</v>
      </c>
      <c r="I13" s="18">
        <v>-59.938543415233937</v>
      </c>
      <c r="J13" s="18">
        <v>79.623383157001513</v>
      </c>
      <c r="K13" s="18">
        <v>-186.09992738571353</v>
      </c>
      <c r="L13" s="18">
        <v>51.566716338513459</v>
      </c>
      <c r="M13" s="7">
        <f>1/(1+EXP(-(I13+SUMPRODUCT(J13:L13,$J$7:$L$7))))</f>
        <v>1.5172795427363012E-5</v>
      </c>
      <c r="O13" s="7">
        <v>7</v>
      </c>
      <c r="P13" s="7">
        <v>0.99999527004998412</v>
      </c>
      <c r="Q13" s="7">
        <v>1</v>
      </c>
      <c r="R13" s="7">
        <v>2.2372427152726911E-11</v>
      </c>
    </row>
    <row r="14" spans="1:18">
      <c r="A14" s="12">
        <v>7</v>
      </c>
      <c r="B14" s="7">
        <v>0.8</v>
      </c>
      <c r="C14" s="7">
        <v>0.1</v>
      </c>
      <c r="D14" s="7">
        <v>0.1</v>
      </c>
      <c r="E14" s="7" t="s">
        <v>11</v>
      </c>
      <c r="F14" s="7">
        <v>1</v>
      </c>
      <c r="H14" s="10" t="s">
        <v>28</v>
      </c>
      <c r="I14" s="18">
        <v>142.87478562127475</v>
      </c>
      <c r="J14" s="18">
        <v>180.7677789489467</v>
      </c>
      <c r="K14" s="18">
        <v>6.4761713712327555</v>
      </c>
      <c r="L14" s="18">
        <v>-38.368928063447065</v>
      </c>
      <c r="M14" s="7">
        <f>1/(1+EXP(-(I14+SUMPRODUCT(J14:L14,$J$7:$L$7))))</f>
        <v>1</v>
      </c>
      <c r="O14" s="7">
        <v>8</v>
      </c>
      <c r="P14" s="7">
        <v>2.9964235407261064E-51</v>
      </c>
      <c r="Q14" s="7">
        <v>0</v>
      </c>
      <c r="R14" s="7">
        <v>8.9785540354175764E-102</v>
      </c>
    </row>
    <row r="15" spans="1:18" ht="13.5" thickBot="1">
      <c r="A15" s="12">
        <v>8</v>
      </c>
      <c r="B15" s="7">
        <v>0.9</v>
      </c>
      <c r="C15" s="7">
        <v>0.05</v>
      </c>
      <c r="D15" s="7">
        <v>0.05</v>
      </c>
      <c r="E15" s="7" t="s">
        <v>10</v>
      </c>
      <c r="F15" s="7">
        <v>0</v>
      </c>
    </row>
    <row r="16" spans="1:18" ht="13.5" thickBot="1">
      <c r="A16" s="31">
        <v>9</v>
      </c>
      <c r="B16" s="7">
        <v>0.7</v>
      </c>
      <c r="C16" s="7">
        <v>0.3</v>
      </c>
      <c r="D16" s="7">
        <v>0</v>
      </c>
      <c r="E16" s="7" t="s">
        <v>10</v>
      </c>
      <c r="F16" s="7">
        <v>0</v>
      </c>
      <c r="O16" s="26" t="s">
        <v>35</v>
      </c>
      <c r="P16" s="27"/>
      <c r="Q16" s="27"/>
      <c r="R16" s="13">
        <f>SUM(R7:R14)</f>
        <v>1.0881790630653664E-10</v>
      </c>
    </row>
    <row r="17" spans="1:11">
      <c r="A17" s="31">
        <v>10</v>
      </c>
      <c r="B17" s="7">
        <v>0.75</v>
      </c>
      <c r="C17" s="7">
        <v>0.1</v>
      </c>
      <c r="D17" s="7">
        <v>0.15</v>
      </c>
      <c r="E17" s="7" t="s">
        <v>11</v>
      </c>
      <c r="F17" s="7">
        <v>1</v>
      </c>
      <c r="J17" s="21" t="s">
        <v>22</v>
      </c>
      <c r="K17" s="23"/>
    </row>
    <row r="18" spans="1:11">
      <c r="A18" s="31">
        <v>11</v>
      </c>
      <c r="B18" s="7">
        <v>0.95</v>
      </c>
      <c r="C18" s="7">
        <v>2.5000000000000001E-2</v>
      </c>
      <c r="D18" s="7">
        <v>2.5000000000000001E-2</v>
      </c>
      <c r="E18" s="7" t="s">
        <v>10</v>
      </c>
      <c r="F18" s="7">
        <v>0</v>
      </c>
      <c r="J18" s="10" t="s">
        <v>20</v>
      </c>
      <c r="K18" s="3">
        <v>-28.698988032015301</v>
      </c>
    </row>
    <row r="19" spans="1:11">
      <c r="J19" s="10" t="s">
        <v>17</v>
      </c>
      <c r="K19" s="3">
        <v>24.76778117478926</v>
      </c>
    </row>
    <row r="20" spans="1:11">
      <c r="J20" s="10" t="s">
        <v>18</v>
      </c>
      <c r="K20" s="3">
        <v>-129.47414325659122</v>
      </c>
    </row>
    <row r="21" spans="1:11">
      <c r="J21" s="10" t="s">
        <v>19</v>
      </c>
      <c r="K21" s="3">
        <v>16.200791473491975</v>
      </c>
    </row>
    <row r="22" spans="1:11">
      <c r="A22" s="15"/>
      <c r="E22" s="15"/>
      <c r="F22" s="15"/>
    </row>
    <row r="23" spans="1:11">
      <c r="J23" s="9" t="s">
        <v>25</v>
      </c>
      <c r="K23" s="7">
        <f>1/(1+EXP(-(K18+SUMPRODUCT(M12:M14,K19:K21))))</f>
        <v>0.99999529848051949</v>
      </c>
    </row>
    <row r="24" spans="1:11">
      <c r="K24" s="8"/>
    </row>
    <row r="25" spans="1:11" ht="12" customHeight="1"/>
    <row r="26" spans="1:11">
      <c r="J26" s="9" t="s">
        <v>34</v>
      </c>
      <c r="K26" s="7">
        <f>INDEX(F8:F18,I7,1)</f>
        <v>1</v>
      </c>
    </row>
    <row r="28" spans="1:11" ht="28.5" customHeight="1" thickBot="1">
      <c r="A28" s="28"/>
      <c r="B28" s="28"/>
      <c r="C28" s="28"/>
      <c r="D28" s="28"/>
      <c r="E28" s="28"/>
      <c r="F28" s="28"/>
      <c r="G28" s="28"/>
      <c r="H28" s="28"/>
      <c r="J28" s="29" t="s">
        <v>37</v>
      </c>
      <c r="K28" s="30"/>
    </row>
    <row r="29" spans="1:11" ht="13.5" thickBot="1">
      <c r="J29" s="4" t="s">
        <v>23</v>
      </c>
      <c r="K29" s="14" t="str">
        <f>IF(K23&gt;0.5,"BOOM!!","FIZZLE")</f>
        <v>BOOM!!</v>
      </c>
    </row>
  </sheetData>
  <mergeCells count="8">
    <mergeCell ref="A28:H28"/>
    <mergeCell ref="J28:K28"/>
    <mergeCell ref="A6:F6"/>
    <mergeCell ref="H10:M10"/>
    <mergeCell ref="J17:K17"/>
    <mergeCell ref="O5:R5"/>
    <mergeCell ref="A2:R3"/>
    <mergeCell ref="O16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Preprocessing</vt:lpstr>
      <vt:lpstr>TRAINING AND TESTING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Rajgopal</dc:creator>
  <cp:lastModifiedBy>Aravind</cp:lastModifiedBy>
  <dcterms:created xsi:type="dcterms:W3CDTF">2010-07-04T19:13:14Z</dcterms:created>
  <dcterms:modified xsi:type="dcterms:W3CDTF">2010-09-30T17:57:28Z</dcterms:modified>
</cp:coreProperties>
</file>