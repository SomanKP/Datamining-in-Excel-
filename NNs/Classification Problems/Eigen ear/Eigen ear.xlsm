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45" windowWidth="18975" windowHeight="11760" activeTab="1"/>
  </bookViews>
  <sheets>
    <sheet name="TRAINING DATA" sheetId="2" r:id="rId1"/>
    <sheet name="EAR PATTERN CLASSIFICATION" sheetId="1" r:id="rId2"/>
  </sheets>
  <definedNames>
    <definedName name="solver_adj" localSheetId="1" hidden="1">'EAR PATTERN CLASSIFICATION'!$L$12:$M$14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'EAR PATTERN CLASSIFICATION'!$U$43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</definedNames>
  <calcPr calcId="124519"/>
</workbook>
</file>

<file path=xl/calcChain.xml><?xml version="1.0" encoding="utf-8"?>
<calcChain xmlns="http://schemas.openxmlformats.org/spreadsheetml/2006/main">
  <c r="K7" i="1"/>
  <c r="L7"/>
  <c r="M7"/>
  <c r="N7"/>
  <c r="O7"/>
  <c r="P7"/>
  <c r="M24"/>
  <c r="T7" s="1"/>
  <c r="P12" l="1"/>
  <c r="P13"/>
  <c r="P14"/>
  <c r="M23" l="1"/>
  <c r="O24" s="1"/>
  <c r="S7" l="1"/>
  <c r="U7" s="1"/>
  <c r="U43" s="1"/>
</calcChain>
</file>

<file path=xl/sharedStrings.xml><?xml version="1.0" encoding="utf-8"?>
<sst xmlns="http://schemas.openxmlformats.org/spreadsheetml/2006/main" count="39" uniqueCount="31">
  <si>
    <t>index</t>
  </si>
  <si>
    <t>x1</t>
  </si>
  <si>
    <t>x2</t>
  </si>
  <si>
    <t>x3</t>
  </si>
  <si>
    <t>x4</t>
  </si>
  <si>
    <t>x5</t>
  </si>
  <si>
    <t>x6</t>
  </si>
  <si>
    <t>Hidden Layer</t>
  </si>
  <si>
    <t>bias</t>
  </si>
  <si>
    <t>w1</t>
  </si>
  <si>
    <t>w2</t>
  </si>
  <si>
    <t>response</t>
  </si>
  <si>
    <t>Output Layer</t>
  </si>
  <si>
    <t>w3</t>
  </si>
  <si>
    <t>w4</t>
  </si>
  <si>
    <t>w5</t>
  </si>
  <si>
    <t>w6</t>
  </si>
  <si>
    <t>actual</t>
  </si>
  <si>
    <t>Error</t>
  </si>
  <si>
    <t>ERROR</t>
  </si>
  <si>
    <t>EIGEN EAR</t>
  </si>
  <si>
    <t>TRAINING DATA</t>
  </si>
  <si>
    <t>2nd persons data</t>
  </si>
  <si>
    <t>Training Data</t>
  </si>
  <si>
    <t>Whose ear is it?</t>
  </si>
  <si>
    <t>TESTING DATA</t>
  </si>
  <si>
    <t>CLASS</t>
  </si>
  <si>
    <t>Training Phase</t>
  </si>
  <si>
    <t>Ist persons data</t>
  </si>
  <si>
    <t>Expected</t>
  </si>
  <si>
    <t>Actual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</si>
</sst>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C2:Q21"/>
  <sheetViews>
    <sheetView workbookViewId="0">
      <selection activeCell="K6" sqref="K6:Q12"/>
    </sheetView>
  </sheetViews>
  <sheetFormatPr defaultRowHeight="15"/>
  <cols>
    <col min="1" max="2" width="9.140625" style="5"/>
    <col min="3" max="3" width="3.85546875" style="5" customWidth="1"/>
    <col min="4" max="10" width="9.140625" style="5"/>
    <col min="11" max="11" width="4.140625" style="5" customWidth="1"/>
    <col min="12" max="16384" width="9.140625" style="5"/>
  </cols>
  <sheetData>
    <row r="2" spans="3:17" ht="15" customHeight="1"/>
    <row r="3" spans="3:17">
      <c r="C3" s="14" t="s">
        <v>21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6"/>
    </row>
    <row r="4" spans="3:17">
      <c r="C4" s="17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9"/>
    </row>
    <row r="6" spans="3:17">
      <c r="C6" s="7"/>
      <c r="D6" s="11" t="s">
        <v>28</v>
      </c>
      <c r="E6" s="12"/>
      <c r="F6" s="12"/>
      <c r="G6" s="12"/>
      <c r="H6" s="12"/>
      <c r="I6" s="13"/>
      <c r="K6" s="7"/>
      <c r="L6" s="11" t="s">
        <v>22</v>
      </c>
      <c r="M6" s="12"/>
      <c r="N6" s="12"/>
      <c r="O6" s="12"/>
      <c r="P6" s="12"/>
      <c r="Q6" s="13"/>
    </row>
    <row r="7" spans="3:17">
      <c r="C7" s="2">
        <v>1</v>
      </c>
      <c r="D7" s="4">
        <v>-58.771079159995892</v>
      </c>
      <c r="E7" s="4">
        <v>280.90960419003602</v>
      </c>
      <c r="F7" s="4">
        <v>-69.412672039235645</v>
      </c>
      <c r="G7" s="4">
        <v>-58.120757181454543</v>
      </c>
      <c r="H7" s="4">
        <v>12.580008711812342</v>
      </c>
      <c r="I7" s="4">
        <v>-45.394710657397056</v>
      </c>
      <c r="K7" s="2">
        <v>1</v>
      </c>
      <c r="L7" s="4">
        <v>30.544593751987883</v>
      </c>
      <c r="M7" s="4">
        <v>18.789901479467122</v>
      </c>
      <c r="N7" s="4">
        <v>-264.35801567734586</v>
      </c>
      <c r="O7" s="4">
        <v>66.812637874991765</v>
      </c>
      <c r="P7" s="4">
        <v>-21.225477004736973</v>
      </c>
      <c r="Q7" s="4">
        <v>-30.202619490137153</v>
      </c>
    </row>
    <row r="8" spans="3:17">
      <c r="C8" s="2">
        <v>2</v>
      </c>
      <c r="D8" s="4">
        <v>174.29774794272714</v>
      </c>
      <c r="E8" s="4">
        <v>-81.028899581648886</v>
      </c>
      <c r="F8" s="4">
        <v>210.24094218027318</v>
      </c>
      <c r="G8" s="4">
        <v>-43.743507075774005</v>
      </c>
      <c r="H8" s="4">
        <v>8.3124122220734549</v>
      </c>
      <c r="I8" s="4">
        <v>-72.154112124156129</v>
      </c>
      <c r="K8" s="2">
        <v>2</v>
      </c>
      <c r="L8" s="4">
        <v>-210.86725976324772</v>
      </c>
      <c r="M8" s="4">
        <v>-165.85957607965707</v>
      </c>
      <c r="N8" s="4">
        <v>-48.003258514206465</v>
      </c>
      <c r="O8" s="4">
        <v>57.711371262317627</v>
      </c>
      <c r="P8" s="4">
        <v>-49.512914913191302</v>
      </c>
      <c r="Q8" s="4">
        <v>-14.341617026237873</v>
      </c>
    </row>
    <row r="9" spans="3:17">
      <c r="C9" s="2">
        <v>3</v>
      </c>
      <c r="D9" s="4">
        <v>-152.23577372882926</v>
      </c>
      <c r="E9" s="4">
        <v>-241.01832195348075</v>
      </c>
      <c r="F9" s="4">
        <v>11.57449822117008</v>
      </c>
      <c r="G9" s="4">
        <v>-58.044965881950105</v>
      </c>
      <c r="H9" s="4">
        <v>27.763167351869985</v>
      </c>
      <c r="I9" s="4">
        <v>-48.386100215857788</v>
      </c>
      <c r="K9" s="2">
        <v>3</v>
      </c>
      <c r="L9" s="4">
        <v>56.074014456768239</v>
      </c>
      <c r="M9" s="4">
        <v>-5.6045258795271957</v>
      </c>
      <c r="N9" s="4">
        <v>-237.78857154629264</v>
      </c>
      <c r="O9" s="4">
        <v>81.914008246080869</v>
      </c>
      <c r="P9" s="4">
        <v>-59.239933046604179</v>
      </c>
      <c r="Q9" s="4">
        <v>62.487402997673378</v>
      </c>
    </row>
    <row r="10" spans="3:17">
      <c r="C10" s="2">
        <v>4</v>
      </c>
      <c r="D10" s="4">
        <v>249.82604077398059</v>
      </c>
      <c r="E10" s="4">
        <v>-125.80720039184982</v>
      </c>
      <c r="F10" s="4">
        <v>-87.491162957629129</v>
      </c>
      <c r="G10" s="4">
        <v>-56.666656866301125</v>
      </c>
      <c r="H10" s="4">
        <v>-11.674063808791892</v>
      </c>
      <c r="I10" s="4">
        <v>-6.1520169918752199</v>
      </c>
      <c r="K10" s="2">
        <v>4</v>
      </c>
      <c r="L10" s="4">
        <v>26.464990318274136</v>
      </c>
      <c r="M10" s="4">
        <v>219.66326653287805</v>
      </c>
      <c r="N10" s="4">
        <v>-46.319967604744157</v>
      </c>
      <c r="O10" s="4">
        <v>122.62575491093205</v>
      </c>
      <c r="P10" s="4">
        <v>-105.0016114701622</v>
      </c>
      <c r="Q10" s="4">
        <v>-46.336021621441617</v>
      </c>
    </row>
    <row r="11" spans="3:17">
      <c r="C11" s="2">
        <v>5</v>
      </c>
      <c r="D11" s="4">
        <v>218.49009055230925</v>
      </c>
      <c r="E11" s="4">
        <v>-116.42825760175373</v>
      </c>
      <c r="F11" s="4">
        <v>-157.96326662074827</v>
      </c>
      <c r="G11" s="4">
        <v>-6.4067038387404436</v>
      </c>
      <c r="H11" s="4">
        <v>47.61372843453519</v>
      </c>
      <c r="I11" s="4">
        <v>-26.518106928733278</v>
      </c>
      <c r="K11" s="2">
        <v>5</v>
      </c>
      <c r="L11" s="4">
        <v>-90.810328720328584</v>
      </c>
      <c r="M11" s="4">
        <v>79.14017331322232</v>
      </c>
      <c r="N11" s="4">
        <v>-207.4791444341285</v>
      </c>
      <c r="O11" s="4">
        <v>-76.341620984706083</v>
      </c>
      <c r="P11" s="4">
        <v>-87.237637357832938</v>
      </c>
      <c r="Q11" s="4">
        <v>-55.653310238124888</v>
      </c>
    </row>
    <row r="12" spans="3:17">
      <c r="C12" s="2">
        <v>6</v>
      </c>
      <c r="D12" s="4">
        <v>248.29010677620656</v>
      </c>
      <c r="E12" s="4">
        <v>-120.40847691534637</v>
      </c>
      <c r="F12" s="4">
        <v>-95.673954116363333</v>
      </c>
      <c r="G12" s="4">
        <v>-28.610754344845159</v>
      </c>
      <c r="H12" s="4">
        <v>16.933758445062704</v>
      </c>
      <c r="I12" s="4">
        <v>-25.208066265676361</v>
      </c>
      <c r="K12" s="2">
        <v>6</v>
      </c>
      <c r="L12" s="4">
        <v>112.19950873680611</v>
      </c>
      <c r="M12" s="4">
        <v>50.470633366980515</v>
      </c>
      <c r="N12" s="4">
        <v>-237.52191039440868</v>
      </c>
      <c r="O12" s="4">
        <v>59.35625716091424</v>
      </c>
      <c r="P12" s="4">
        <v>13.121165316798781</v>
      </c>
      <c r="Q12" s="4">
        <v>-59.07386567364648</v>
      </c>
    </row>
    <row r="14" spans="3:17">
      <c r="C14" s="14" t="s">
        <v>25</v>
      </c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6"/>
    </row>
    <row r="15" spans="3:17">
      <c r="C15" s="17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9"/>
    </row>
    <row r="17" spans="3:17">
      <c r="C17" s="7"/>
      <c r="D17" s="11" t="s">
        <v>28</v>
      </c>
      <c r="E17" s="12"/>
      <c r="F17" s="12"/>
      <c r="G17" s="12"/>
      <c r="H17" s="12"/>
      <c r="I17" s="13"/>
      <c r="K17" s="7"/>
      <c r="L17" s="11" t="s">
        <v>22</v>
      </c>
      <c r="M17" s="12"/>
      <c r="N17" s="12"/>
      <c r="O17" s="12"/>
      <c r="P17" s="12"/>
      <c r="Q17" s="13"/>
    </row>
    <row r="18" spans="3:17">
      <c r="C18" s="2">
        <v>1</v>
      </c>
      <c r="D18" s="4">
        <v>75.207587419878323</v>
      </c>
      <c r="E18" s="4">
        <v>-117.54081722960068</v>
      </c>
      <c r="F18" s="4">
        <v>-116.06349825032328</v>
      </c>
      <c r="G18" s="4">
        <v>-48.547368724999991</v>
      </c>
      <c r="H18" s="4">
        <v>81.820714576724939</v>
      </c>
      <c r="I18" s="4">
        <v>-220.3956185038503</v>
      </c>
      <c r="K18" s="2">
        <v>1</v>
      </c>
      <c r="L18" s="4">
        <v>91.634483265837957</v>
      </c>
      <c r="M18" s="4">
        <v>-41.007126431516575</v>
      </c>
      <c r="N18" s="4">
        <v>-225.52000893166911</v>
      </c>
      <c r="O18" s="4">
        <v>14.402027057605384</v>
      </c>
      <c r="P18" s="4">
        <v>-149.79927963198989</v>
      </c>
      <c r="Q18" s="4">
        <v>-12.385846314580041</v>
      </c>
    </row>
    <row r="19" spans="3:17">
      <c r="C19" s="2">
        <v>2</v>
      </c>
      <c r="D19" s="4">
        <v>109.96764251172968</v>
      </c>
      <c r="E19" s="4">
        <v>-68.254641377943329</v>
      </c>
      <c r="F19" s="4">
        <v>-18.359420946156426</v>
      </c>
      <c r="G19" s="4">
        <v>-168.38274110129561</v>
      </c>
      <c r="H19" s="4">
        <v>215.08137318404513</v>
      </c>
      <c r="I19" s="4">
        <v>-2.5775145203634233</v>
      </c>
      <c r="K19" s="2">
        <v>2</v>
      </c>
      <c r="L19" s="4">
        <v>145.35654488645355</v>
      </c>
      <c r="M19" s="4">
        <v>-7.7299841066609192</v>
      </c>
      <c r="N19" s="4">
        <v>-164.81722039189177</v>
      </c>
      <c r="O19" s="4">
        <v>44.658827916720455</v>
      </c>
      <c r="P19" s="4">
        <v>-148.24530159135259</v>
      </c>
      <c r="Q19" s="4">
        <v>-13.828150333927862</v>
      </c>
    </row>
    <row r="20" spans="3:17">
      <c r="C20" s="2">
        <v>3</v>
      </c>
      <c r="D20" s="4">
        <v>-194.46032476335188</v>
      </c>
      <c r="E20" s="4">
        <v>-164.61830077343996</v>
      </c>
      <c r="F20" s="4">
        <v>-78.274527413086147</v>
      </c>
      <c r="G20" s="4">
        <v>70.270481422286494</v>
      </c>
      <c r="H20" s="4">
        <v>68.694509674742662</v>
      </c>
      <c r="I20" s="4">
        <v>-1.1946385947476872</v>
      </c>
      <c r="K20" s="2">
        <v>3</v>
      </c>
      <c r="L20" s="4">
        <v>278.19848928363058</v>
      </c>
      <c r="M20" s="4">
        <v>-25.124612446289714</v>
      </c>
      <c r="N20" s="4">
        <v>-12.55123416058238</v>
      </c>
      <c r="O20" s="4">
        <v>-28.176592504079938</v>
      </c>
      <c r="P20" s="4">
        <v>-21.212351330282445</v>
      </c>
      <c r="Q20" s="4">
        <v>-4.2416677117311261</v>
      </c>
    </row>
    <row r="21" spans="3:17">
      <c r="C21" s="2">
        <v>4</v>
      </c>
      <c r="D21" s="4">
        <v>199.49855966056603</v>
      </c>
      <c r="E21" s="4">
        <v>-5.19013059985424</v>
      </c>
      <c r="F21" s="4">
        <v>15.665827057284917</v>
      </c>
      <c r="G21" s="4">
        <v>170.79782959892779</v>
      </c>
      <c r="H21" s="4">
        <v>142.45002058852381</v>
      </c>
      <c r="I21" s="4">
        <v>-55.300692297155415</v>
      </c>
      <c r="K21" s="2">
        <v>4</v>
      </c>
      <c r="L21" s="4">
        <v>-64.574314858957493</v>
      </c>
      <c r="M21" s="4">
        <v>226.08076844952748</v>
      </c>
      <c r="N21" s="4">
        <v>-141.02547297262475</v>
      </c>
      <c r="O21" s="4">
        <v>-15.291429801663412</v>
      </c>
      <c r="P21" s="4">
        <v>-44.866844197599256</v>
      </c>
      <c r="Q21" s="4">
        <v>48.782889428153197</v>
      </c>
    </row>
  </sheetData>
  <mergeCells count="6">
    <mergeCell ref="D17:I17"/>
    <mergeCell ref="L17:Q17"/>
    <mergeCell ref="D6:I6"/>
    <mergeCell ref="L6:Q6"/>
    <mergeCell ref="C3:Q4"/>
    <mergeCell ref="C14:Q1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2:W43"/>
  <sheetViews>
    <sheetView tabSelected="1" workbookViewId="0">
      <selection activeCell="K8" sqref="K8"/>
    </sheetView>
  </sheetViews>
  <sheetFormatPr defaultRowHeight="15"/>
  <cols>
    <col min="1" max="6" width="7.28515625" style="5" customWidth="1"/>
    <col min="7" max="7" width="7.5703125" style="5" customWidth="1"/>
    <col min="8" max="16384" width="9.140625" style="5"/>
  </cols>
  <sheetData>
    <row r="2" spans="1:23">
      <c r="A2" s="20" t="s">
        <v>20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</row>
    <row r="3" spans="1:23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</row>
    <row r="5" spans="1:23">
      <c r="A5" s="22" t="s">
        <v>23</v>
      </c>
      <c r="B5" s="22"/>
      <c r="C5" s="22"/>
      <c r="D5" s="22"/>
      <c r="E5" s="22"/>
      <c r="F5" s="22"/>
      <c r="G5" s="6" t="s">
        <v>26</v>
      </c>
      <c r="R5" s="11" t="s">
        <v>27</v>
      </c>
      <c r="S5" s="12"/>
      <c r="T5" s="12"/>
      <c r="U5" s="13"/>
    </row>
    <row r="6" spans="1:23">
      <c r="A6" s="4">
        <v>-58.771079159995892</v>
      </c>
      <c r="B6" s="4">
        <v>280.90960419003602</v>
      </c>
      <c r="C6" s="4">
        <v>-69.412672039235645</v>
      </c>
      <c r="D6" s="4">
        <v>-58.120757181454543</v>
      </c>
      <c r="E6" s="4">
        <v>12.580008711812342</v>
      </c>
      <c r="F6" s="4">
        <v>-45.394710657397056</v>
      </c>
      <c r="G6" s="4">
        <v>0</v>
      </c>
      <c r="I6" s="11" t="s">
        <v>0</v>
      </c>
      <c r="J6" s="13"/>
      <c r="K6" s="6" t="s">
        <v>1</v>
      </c>
      <c r="L6" s="6" t="s">
        <v>2</v>
      </c>
      <c r="M6" s="6" t="s">
        <v>3</v>
      </c>
      <c r="N6" s="6" t="s">
        <v>4</v>
      </c>
      <c r="O6" s="6" t="s">
        <v>5</v>
      </c>
      <c r="P6" s="6" t="s">
        <v>6</v>
      </c>
      <c r="R6" s="2" t="s">
        <v>0</v>
      </c>
      <c r="S6" s="2" t="s">
        <v>11</v>
      </c>
      <c r="T6" s="3" t="s">
        <v>17</v>
      </c>
      <c r="U6" s="2" t="s">
        <v>18</v>
      </c>
    </row>
    <row r="7" spans="1:23">
      <c r="A7" s="4">
        <v>174.29774794272714</v>
      </c>
      <c r="B7" s="4">
        <v>-81.028899581648886</v>
      </c>
      <c r="C7" s="4">
        <v>210.24094218027318</v>
      </c>
      <c r="D7" s="4">
        <v>-43.743507075774005</v>
      </c>
      <c r="E7" s="4">
        <v>8.3124122220734549</v>
      </c>
      <c r="F7" s="4">
        <v>-72.154112124156129</v>
      </c>
      <c r="G7" s="4">
        <v>0</v>
      </c>
      <c r="I7" s="25">
        <v>2</v>
      </c>
      <c r="J7" s="26"/>
      <c r="K7" s="8">
        <f>INDEX($A$6:$F$41,$I$7,1)</f>
        <v>174.29774794272714</v>
      </c>
      <c r="L7" s="8">
        <f>INDEX($A$6:$F$41,$I$7,2)</f>
        <v>-81.028899581648886</v>
      </c>
      <c r="M7" s="8">
        <f>INDEX($A$6:$F$41,$I$7,3)</f>
        <v>210.24094218027318</v>
      </c>
      <c r="N7" s="8">
        <f>INDEX($A$6:$F$41,$I$7,4)</f>
        <v>-43.743507075774005</v>
      </c>
      <c r="O7" s="8">
        <f>INDEX($A$6:$F$41,$I$7,5)</f>
        <v>8.3124122220734549</v>
      </c>
      <c r="P7" s="8">
        <f>INDEX($A$6:$F$41,$I$7,6)</f>
        <v>-72.154112124156129</v>
      </c>
      <c r="R7" s="4">
        <v>1</v>
      </c>
      <c r="S7" s="4">
        <f>M23</f>
        <v>2.5429968110106494E-137</v>
      </c>
      <c r="T7" s="4">
        <f>M24</f>
        <v>0</v>
      </c>
      <c r="U7" s="4">
        <f>IFERROR((S7-T7)^2,9999999999)</f>
        <v>6.4668327808103323E-274</v>
      </c>
    </row>
    <row r="8" spans="1:23">
      <c r="A8" s="4">
        <v>-152.23577372882926</v>
      </c>
      <c r="B8" s="4">
        <v>-241.01832195348075</v>
      </c>
      <c r="C8" s="4">
        <v>11.57449822117008</v>
      </c>
      <c r="D8" s="4">
        <v>-58.044965881950105</v>
      </c>
      <c r="E8" s="4">
        <v>27.763167351869985</v>
      </c>
      <c r="F8" s="4">
        <v>-48.386100215857788</v>
      </c>
      <c r="G8" s="4">
        <v>0</v>
      </c>
      <c r="R8" s="4">
        <v>2</v>
      </c>
      <c r="S8" s="4">
        <f t="dataTable" ref="S8:U42" dt2D="0" dtr="0" r1="I7"/>
        <v>2.5429968110106494E-137</v>
      </c>
      <c r="T8" s="4">
        <v>0</v>
      </c>
      <c r="U8" s="4">
        <v>6.4668327808103323E-274</v>
      </c>
    </row>
    <row r="9" spans="1:23">
      <c r="A9" s="4">
        <v>249.82604077398059</v>
      </c>
      <c r="B9" s="4">
        <v>-125.80720039184982</v>
      </c>
      <c r="C9" s="4">
        <v>-87.491162957629129</v>
      </c>
      <c r="D9" s="4">
        <v>-56.666656866301125</v>
      </c>
      <c r="E9" s="4">
        <v>-11.674063808791892</v>
      </c>
      <c r="F9" s="4">
        <v>-6.1520169918752199</v>
      </c>
      <c r="G9" s="4">
        <v>0</v>
      </c>
      <c r="R9" s="4">
        <v>3</v>
      </c>
      <c r="S9" s="4">
        <v>2.5429968110106494E-137</v>
      </c>
      <c r="T9" s="4">
        <v>0</v>
      </c>
      <c r="U9" s="4">
        <v>6.4668327808103323E-274</v>
      </c>
    </row>
    <row r="10" spans="1:23">
      <c r="A10" s="4">
        <v>218.49009055230925</v>
      </c>
      <c r="B10" s="4">
        <v>-116.42825760175373</v>
      </c>
      <c r="C10" s="4">
        <v>-157.96326662074827</v>
      </c>
      <c r="D10" s="4">
        <v>-6.4067038387404436</v>
      </c>
      <c r="E10" s="4">
        <v>47.61372843453519</v>
      </c>
      <c r="F10" s="4">
        <v>-26.518106928733278</v>
      </c>
      <c r="G10" s="4">
        <v>0</v>
      </c>
      <c r="I10" s="27" t="s">
        <v>7</v>
      </c>
      <c r="J10" s="27"/>
      <c r="K10" s="27"/>
      <c r="L10" s="27"/>
      <c r="M10" s="27"/>
      <c r="N10" s="27"/>
      <c r="O10" s="27"/>
      <c r="P10" s="27"/>
      <c r="R10" s="4">
        <v>4</v>
      </c>
      <c r="S10" s="4">
        <v>2.5429968110106494E-137</v>
      </c>
      <c r="T10" s="4">
        <v>0</v>
      </c>
      <c r="U10" s="4">
        <v>6.4668327808103323E-274</v>
      </c>
    </row>
    <row r="11" spans="1:23">
      <c r="A11" s="4">
        <v>248.29010677620656</v>
      </c>
      <c r="B11" s="4">
        <v>-120.40847691534637</v>
      </c>
      <c r="C11" s="4">
        <v>-95.673954116363333</v>
      </c>
      <c r="D11" s="4">
        <v>-28.610754344845159</v>
      </c>
      <c r="E11" s="4">
        <v>16.933758445062704</v>
      </c>
      <c r="F11" s="4">
        <v>-25.208066265676361</v>
      </c>
      <c r="G11" s="4">
        <v>0</v>
      </c>
      <c r="I11" s="2" t="s">
        <v>8</v>
      </c>
      <c r="J11" s="2" t="s">
        <v>9</v>
      </c>
      <c r="K11" s="2" t="s">
        <v>10</v>
      </c>
      <c r="L11" s="2" t="s">
        <v>13</v>
      </c>
      <c r="M11" s="2" t="s">
        <v>14</v>
      </c>
      <c r="N11" s="2" t="s">
        <v>15</v>
      </c>
      <c r="O11" s="2" t="s">
        <v>16</v>
      </c>
      <c r="P11" s="2" t="s">
        <v>11</v>
      </c>
      <c r="R11" s="4">
        <v>5</v>
      </c>
      <c r="S11" s="4">
        <v>2.5429968110106494E-137</v>
      </c>
      <c r="T11" s="4">
        <v>0</v>
      </c>
      <c r="U11" s="4">
        <v>6.4668327808103323E-274</v>
      </c>
    </row>
    <row r="12" spans="1:23">
      <c r="A12" s="4">
        <v>30.544593751987883</v>
      </c>
      <c r="B12" s="4">
        <v>18.789901479467122</v>
      </c>
      <c r="C12" s="4">
        <v>-264.35801567734586</v>
      </c>
      <c r="D12" s="4">
        <v>66.812637874991765</v>
      </c>
      <c r="E12" s="4">
        <v>-21.225477004736973</v>
      </c>
      <c r="F12" s="4">
        <v>-30.202619490137153</v>
      </c>
      <c r="G12" s="4">
        <v>1</v>
      </c>
      <c r="I12" s="4">
        <v>1.1704248317874495E-3</v>
      </c>
      <c r="J12" s="4">
        <v>-1.4440746887764873</v>
      </c>
      <c r="K12" s="4">
        <v>1.1386594759155153</v>
      </c>
      <c r="L12" s="4">
        <v>0.27504617935693815</v>
      </c>
      <c r="M12" s="4">
        <v>0.98205802971790568</v>
      </c>
      <c r="N12" s="4">
        <v>0.44747129558716359</v>
      </c>
      <c r="O12" s="4">
        <v>0.12556881121782149</v>
      </c>
      <c r="P12" s="4">
        <f t="shared" ref="P12:P13" si="0">1/(1+EXP(-1*(I12+SUMPRODUCT(J12:O12,$K$7:$P$7))))</f>
        <v>5.7080009002635978E-146</v>
      </c>
      <c r="R12" s="4">
        <v>6</v>
      </c>
      <c r="S12" s="4">
        <v>2.5429968110106494E-137</v>
      </c>
      <c r="T12" s="4">
        <v>0</v>
      </c>
      <c r="U12" s="4">
        <v>6.4668327808103323E-274</v>
      </c>
    </row>
    <row r="13" spans="1:23">
      <c r="A13" s="4">
        <v>-210.86725976324772</v>
      </c>
      <c r="B13" s="4">
        <v>-165.85957607965707</v>
      </c>
      <c r="C13" s="4">
        <v>-48.003258514206465</v>
      </c>
      <c r="D13" s="4">
        <v>57.711371262317627</v>
      </c>
      <c r="E13" s="4">
        <v>-49.512914913191302</v>
      </c>
      <c r="F13" s="4">
        <v>-14.341617026237873</v>
      </c>
      <c r="G13" s="4">
        <v>1</v>
      </c>
      <c r="I13" s="4">
        <v>6.294852570978526E-4</v>
      </c>
      <c r="J13" s="4">
        <v>-1.3893756823702346</v>
      </c>
      <c r="K13" s="4">
        <v>1.0910272215791783</v>
      </c>
      <c r="L13" s="4">
        <v>-0.5</v>
      </c>
      <c r="M13" s="4">
        <v>1.0280345212314055</v>
      </c>
      <c r="N13" s="4">
        <v>-0.73322855088520245</v>
      </c>
      <c r="O13" s="4">
        <v>0.15908730392357887</v>
      </c>
      <c r="P13" s="4">
        <f t="shared" si="0"/>
        <v>4.1695137684137661E-217</v>
      </c>
      <c r="R13" s="4">
        <v>7</v>
      </c>
      <c r="S13" s="4">
        <v>1</v>
      </c>
      <c r="T13" s="4">
        <v>1</v>
      </c>
      <c r="U13" s="4">
        <v>0</v>
      </c>
    </row>
    <row r="14" spans="1:23">
      <c r="A14" s="4">
        <v>56.074014456768239</v>
      </c>
      <c r="B14" s="4">
        <v>-5.6045258795271957</v>
      </c>
      <c r="C14" s="4">
        <v>-237.78857154629264</v>
      </c>
      <c r="D14" s="4">
        <v>81.914008246080869</v>
      </c>
      <c r="E14" s="4">
        <v>-59.239933046604179</v>
      </c>
      <c r="F14" s="4">
        <v>62.487402997673378</v>
      </c>
      <c r="G14" s="4">
        <v>1</v>
      </c>
      <c r="I14" s="4">
        <v>6.294852570978526E-4</v>
      </c>
      <c r="J14" s="4">
        <v>-1.3893756823702352</v>
      </c>
      <c r="K14" s="4">
        <v>1.0910272215791788</v>
      </c>
      <c r="L14" s="4">
        <v>-0.5</v>
      </c>
      <c r="M14" s="4">
        <v>0.5</v>
      </c>
      <c r="N14" s="4">
        <v>-0.73322855088520233</v>
      </c>
      <c r="O14" s="4">
        <v>0.15908730392357887</v>
      </c>
      <c r="P14" s="4">
        <f>1/(1+EXP(-1*(I14+SUMPRODUCT(J14:O14,$K$7:$P$7))))</f>
        <v>4.4818249236490771E-207</v>
      </c>
      <c r="R14" s="4">
        <v>8</v>
      </c>
      <c r="S14" s="4">
        <v>1</v>
      </c>
      <c r="T14" s="4">
        <v>1</v>
      </c>
      <c r="U14" s="4">
        <v>0</v>
      </c>
    </row>
    <row r="15" spans="1:23">
      <c r="A15" s="4">
        <v>26.464990318274136</v>
      </c>
      <c r="B15" s="4">
        <v>219.66326653287805</v>
      </c>
      <c r="C15" s="4">
        <v>-46.319967604744157</v>
      </c>
      <c r="D15" s="4">
        <v>122.62575491093205</v>
      </c>
      <c r="E15" s="4">
        <v>-105.0016114701622</v>
      </c>
      <c r="F15" s="4">
        <v>-46.336021621441617</v>
      </c>
      <c r="G15" s="4">
        <v>1</v>
      </c>
      <c r="R15" s="4">
        <v>9</v>
      </c>
      <c r="S15" s="4">
        <v>1</v>
      </c>
      <c r="T15" s="4">
        <v>1</v>
      </c>
      <c r="U15" s="4">
        <v>0</v>
      </c>
    </row>
    <row r="16" spans="1:23">
      <c r="A16" s="4">
        <v>-90.810328720328584</v>
      </c>
      <c r="B16" s="4">
        <v>79.14017331322232</v>
      </c>
      <c r="C16" s="4">
        <v>-207.4791444341285</v>
      </c>
      <c r="D16" s="4">
        <v>-76.341620984706083</v>
      </c>
      <c r="E16" s="4">
        <v>-87.237637357832938</v>
      </c>
      <c r="F16" s="4">
        <v>-55.653310238124888</v>
      </c>
      <c r="G16" s="4">
        <v>1</v>
      </c>
      <c r="R16" s="4">
        <v>10</v>
      </c>
      <c r="S16" s="4">
        <v>1</v>
      </c>
      <c r="T16" s="4">
        <v>1</v>
      </c>
      <c r="U16" s="4">
        <v>0</v>
      </c>
    </row>
    <row r="17" spans="1:21">
      <c r="A17" s="4">
        <v>112.19950873680611</v>
      </c>
      <c r="B17" s="4">
        <v>50.470633366980515</v>
      </c>
      <c r="C17" s="4">
        <v>-237.52191039440868</v>
      </c>
      <c r="D17" s="4">
        <v>59.35625716091424</v>
      </c>
      <c r="E17" s="4">
        <v>13.121165316798781</v>
      </c>
      <c r="F17" s="4">
        <v>-59.07386567364648</v>
      </c>
      <c r="G17" s="4">
        <v>1</v>
      </c>
      <c r="L17" s="27" t="s">
        <v>12</v>
      </c>
      <c r="M17" s="27"/>
      <c r="R17" s="4">
        <v>11</v>
      </c>
      <c r="S17" s="4">
        <v>1</v>
      </c>
      <c r="T17" s="4">
        <v>1</v>
      </c>
      <c r="U17" s="4">
        <v>0</v>
      </c>
    </row>
    <row r="18" spans="1:21">
      <c r="A18" s="4">
        <v>-58.771079159995892</v>
      </c>
      <c r="B18" s="4">
        <v>280.90960419003602</v>
      </c>
      <c r="C18" s="4">
        <v>-69.412672039235645</v>
      </c>
      <c r="D18" s="4">
        <v>-58.120757181454543</v>
      </c>
      <c r="E18" s="4">
        <v>12.580008711812342</v>
      </c>
      <c r="F18" s="4">
        <v>-45.394710657397056</v>
      </c>
      <c r="G18" s="4">
        <v>0</v>
      </c>
      <c r="L18" s="2" t="s">
        <v>8</v>
      </c>
      <c r="M18" s="4">
        <v>-314.52081450777155</v>
      </c>
      <c r="R18" s="9">
        <v>12</v>
      </c>
      <c r="S18" s="4">
        <v>1</v>
      </c>
      <c r="T18" s="4">
        <v>1</v>
      </c>
      <c r="U18" s="4">
        <v>0</v>
      </c>
    </row>
    <row r="19" spans="1:21">
      <c r="A19" s="4">
        <v>174.29774794272714</v>
      </c>
      <c r="B19" s="4">
        <v>-81.028899581648886</v>
      </c>
      <c r="C19" s="4">
        <v>210.24094218027318</v>
      </c>
      <c r="D19" s="4">
        <v>-43.743507075774005</v>
      </c>
      <c r="E19" s="4">
        <v>8.3124122220734549</v>
      </c>
      <c r="F19" s="4">
        <v>-72.154112124156129</v>
      </c>
      <c r="G19" s="4">
        <v>0</v>
      </c>
      <c r="L19" s="2" t="s">
        <v>9</v>
      </c>
      <c r="M19" s="4">
        <v>455.25223026544268</v>
      </c>
      <c r="R19" s="9">
        <v>13</v>
      </c>
      <c r="S19" s="4">
        <v>1</v>
      </c>
      <c r="T19" s="4">
        <v>0</v>
      </c>
      <c r="U19" s="4">
        <v>1</v>
      </c>
    </row>
    <row r="20" spans="1:21">
      <c r="A20" s="4">
        <v>-152.23577372882926</v>
      </c>
      <c r="B20" s="4">
        <v>-241.01832195348075</v>
      </c>
      <c r="C20" s="4">
        <v>11.57449822117008</v>
      </c>
      <c r="D20" s="4">
        <v>-58.044965881950105</v>
      </c>
      <c r="E20" s="4">
        <v>27.763167351869985</v>
      </c>
      <c r="F20" s="4">
        <v>-48.386100215857788</v>
      </c>
      <c r="G20" s="4">
        <v>0</v>
      </c>
      <c r="L20" s="2" t="s">
        <v>10</v>
      </c>
      <c r="M20" s="4">
        <v>778.02625306491007</v>
      </c>
      <c r="R20" s="9">
        <v>14</v>
      </c>
      <c r="S20" s="4">
        <v>2.5429968110106494E-137</v>
      </c>
      <c r="T20" s="4">
        <v>0</v>
      </c>
      <c r="U20" s="4">
        <v>6.4668327808103323E-274</v>
      </c>
    </row>
    <row r="21" spans="1:21">
      <c r="A21" s="4">
        <v>249.82604077398059</v>
      </c>
      <c r="B21" s="4">
        <v>-125.80720039184982</v>
      </c>
      <c r="C21" s="4">
        <v>-87.491162957629129</v>
      </c>
      <c r="D21" s="4">
        <v>-56.666656866301125</v>
      </c>
      <c r="E21" s="4">
        <v>-11.674063808791892</v>
      </c>
      <c r="F21" s="4">
        <v>-6.1520169918752199</v>
      </c>
      <c r="G21" s="4">
        <v>0</v>
      </c>
      <c r="L21" s="2" t="s">
        <v>13</v>
      </c>
      <c r="M21" s="4">
        <v>790.83733969050752</v>
      </c>
      <c r="R21" s="9">
        <v>15</v>
      </c>
      <c r="S21" s="4">
        <v>2.5429968110106494E-137</v>
      </c>
      <c r="T21" s="4">
        <v>0</v>
      </c>
      <c r="U21" s="4">
        <v>6.4668327808103323E-274</v>
      </c>
    </row>
    <row r="22" spans="1:21">
      <c r="A22" s="4">
        <v>218.49009055230925</v>
      </c>
      <c r="B22" s="4">
        <v>-116.42825760175373</v>
      </c>
      <c r="C22" s="4">
        <v>-157.96326662074827</v>
      </c>
      <c r="D22" s="4">
        <v>-6.4067038387404436</v>
      </c>
      <c r="E22" s="4">
        <v>47.61372843453519</v>
      </c>
      <c r="F22" s="4">
        <v>-26.518106928733278</v>
      </c>
      <c r="G22" s="4">
        <v>0</v>
      </c>
      <c r="R22" s="9">
        <v>16</v>
      </c>
      <c r="S22" s="4">
        <v>2.5429968110106494E-137</v>
      </c>
      <c r="T22" s="4">
        <v>0</v>
      </c>
      <c r="U22" s="4">
        <v>6.4668327808103323E-274</v>
      </c>
    </row>
    <row r="23" spans="1:21">
      <c r="A23" s="4">
        <v>248.29010677620656</v>
      </c>
      <c r="B23" s="4">
        <v>-120.40847691534637</v>
      </c>
      <c r="C23" s="4">
        <v>-95.673954116363333</v>
      </c>
      <c r="D23" s="4">
        <v>-28.610754344845159</v>
      </c>
      <c r="E23" s="4">
        <v>16.933758445062704</v>
      </c>
      <c r="F23" s="4">
        <v>-25.208066265676361</v>
      </c>
      <c r="G23" s="4">
        <v>0</v>
      </c>
      <c r="L23" s="6" t="s">
        <v>30</v>
      </c>
      <c r="M23" s="1">
        <f>1/(1+EXP(-1*($M$18+SUMPRODUCT(M19:M21,P12:P14))))</f>
        <v>2.5429968110106494E-137</v>
      </c>
      <c r="O23" s="23" t="s">
        <v>24</v>
      </c>
      <c r="P23" s="24"/>
      <c r="R23" s="9">
        <v>17</v>
      </c>
      <c r="S23" s="4">
        <v>2.5429968110106494E-137</v>
      </c>
      <c r="T23" s="4">
        <v>0</v>
      </c>
      <c r="U23" s="4">
        <v>6.4668327808103323E-274</v>
      </c>
    </row>
    <row r="24" spans="1:21">
      <c r="A24" s="4">
        <v>30.544593751987883</v>
      </c>
      <c r="B24" s="4">
        <v>18.789901479467122</v>
      </c>
      <c r="C24" s="4">
        <v>-264.35801567734586</v>
      </c>
      <c r="D24" s="4">
        <v>66.812637874991765</v>
      </c>
      <c r="E24" s="4">
        <v>-21.225477004736973</v>
      </c>
      <c r="F24" s="4">
        <v>-30.202619490137153</v>
      </c>
      <c r="G24" s="4">
        <v>1</v>
      </c>
      <c r="L24" s="6" t="s">
        <v>29</v>
      </c>
      <c r="M24" s="1">
        <f>INDEX($A$6:$G$41,$I$7,7)</f>
        <v>0</v>
      </c>
      <c r="O24" s="25" t="str">
        <f>IF(M23&gt;=0.5,"Ist persons","2nd persons")</f>
        <v>2nd persons</v>
      </c>
      <c r="P24" s="26"/>
      <c r="R24" s="9">
        <v>18</v>
      </c>
      <c r="S24" s="4">
        <v>2.5429968110106494E-137</v>
      </c>
      <c r="T24" s="4">
        <v>0</v>
      </c>
      <c r="U24" s="4">
        <v>6.4668327808103323E-274</v>
      </c>
    </row>
    <row r="25" spans="1:21">
      <c r="A25" s="4">
        <v>-210.86725976324772</v>
      </c>
      <c r="B25" s="4">
        <v>-165.85957607965707</v>
      </c>
      <c r="C25" s="4">
        <v>-48.003258514206465</v>
      </c>
      <c r="D25" s="4">
        <v>57.711371262317627</v>
      </c>
      <c r="E25" s="4">
        <v>-49.512914913191302</v>
      </c>
      <c r="F25" s="4">
        <v>-14.341617026237873</v>
      </c>
      <c r="G25" s="4">
        <v>1</v>
      </c>
      <c r="R25" s="9">
        <v>19</v>
      </c>
      <c r="S25" s="4">
        <v>1</v>
      </c>
      <c r="T25" s="4">
        <v>1</v>
      </c>
      <c r="U25" s="4">
        <v>0</v>
      </c>
    </row>
    <row r="26" spans="1:21">
      <c r="A26" s="4">
        <v>56.074014456768239</v>
      </c>
      <c r="B26" s="4">
        <v>-5.6045258795271957</v>
      </c>
      <c r="C26" s="4">
        <v>-237.78857154629264</v>
      </c>
      <c r="D26" s="4">
        <v>81.914008246080869</v>
      </c>
      <c r="E26" s="4">
        <v>-59.239933046604179</v>
      </c>
      <c r="F26" s="4">
        <v>62.487402997673378</v>
      </c>
      <c r="G26" s="4">
        <v>1</v>
      </c>
      <c r="R26" s="9">
        <v>20</v>
      </c>
      <c r="S26" s="4">
        <v>1</v>
      </c>
      <c r="T26" s="4">
        <v>1</v>
      </c>
      <c r="U26" s="4">
        <v>0</v>
      </c>
    </row>
    <row r="27" spans="1:21">
      <c r="A27" s="4">
        <v>26.464990318274136</v>
      </c>
      <c r="B27" s="4">
        <v>219.66326653287805</v>
      </c>
      <c r="C27" s="4">
        <v>-46.319967604744157</v>
      </c>
      <c r="D27" s="4">
        <v>122.62575491093205</v>
      </c>
      <c r="E27" s="4">
        <v>-105.0016114701622</v>
      </c>
      <c r="F27" s="4">
        <v>-46.336021621441617</v>
      </c>
      <c r="G27" s="4">
        <v>1</v>
      </c>
      <c r="R27" s="9">
        <v>21</v>
      </c>
      <c r="S27" s="4">
        <v>1</v>
      </c>
      <c r="T27" s="4">
        <v>1</v>
      </c>
      <c r="U27" s="4">
        <v>0</v>
      </c>
    </row>
    <row r="28" spans="1:21">
      <c r="A28" s="4">
        <v>-90.810328720328584</v>
      </c>
      <c r="B28" s="4">
        <v>79.14017331322232</v>
      </c>
      <c r="C28" s="4">
        <v>-207.4791444341285</v>
      </c>
      <c r="D28" s="4">
        <v>-76.341620984706083</v>
      </c>
      <c r="E28" s="4">
        <v>-87.237637357832938</v>
      </c>
      <c r="F28" s="4">
        <v>-55.653310238124888</v>
      </c>
      <c r="G28" s="4">
        <v>1</v>
      </c>
      <c r="R28" s="9">
        <v>22</v>
      </c>
      <c r="S28" s="4">
        <v>1</v>
      </c>
      <c r="T28" s="4">
        <v>1</v>
      </c>
      <c r="U28" s="4">
        <v>0</v>
      </c>
    </row>
    <row r="29" spans="1:21">
      <c r="A29" s="4">
        <v>112.19950873680611</v>
      </c>
      <c r="B29" s="4">
        <v>50.470633366980515</v>
      </c>
      <c r="C29" s="4">
        <v>-237.52191039440868</v>
      </c>
      <c r="D29" s="4">
        <v>59.35625716091424</v>
      </c>
      <c r="E29" s="4">
        <v>13.121165316798781</v>
      </c>
      <c r="F29" s="4">
        <v>-59.07386567364648</v>
      </c>
      <c r="G29" s="4">
        <v>1</v>
      </c>
      <c r="R29" s="9">
        <v>23</v>
      </c>
      <c r="S29" s="4">
        <v>1</v>
      </c>
      <c r="T29" s="4">
        <v>1</v>
      </c>
      <c r="U29" s="4">
        <v>0</v>
      </c>
    </row>
    <row r="30" spans="1:21">
      <c r="A30" s="4">
        <v>-58.771079159995892</v>
      </c>
      <c r="B30" s="4">
        <v>280.90960419003602</v>
      </c>
      <c r="C30" s="4">
        <v>-69.412672039235645</v>
      </c>
      <c r="D30" s="4">
        <v>-58.120757181454543</v>
      </c>
      <c r="E30" s="4">
        <v>12.580008711812342</v>
      </c>
      <c r="F30" s="4">
        <v>-45.394710657397056</v>
      </c>
      <c r="G30" s="4">
        <v>0</v>
      </c>
      <c r="R30" s="9">
        <v>24</v>
      </c>
      <c r="S30" s="4">
        <v>1</v>
      </c>
      <c r="T30" s="4">
        <v>1</v>
      </c>
      <c r="U30" s="4">
        <v>0</v>
      </c>
    </row>
    <row r="31" spans="1:21">
      <c r="A31" s="4">
        <v>174.29774794272714</v>
      </c>
      <c r="B31" s="4">
        <v>-81.028899581648886</v>
      </c>
      <c r="C31" s="4">
        <v>210.24094218027318</v>
      </c>
      <c r="D31" s="4">
        <v>-43.743507075774005</v>
      </c>
      <c r="E31" s="4">
        <v>8.3124122220734549</v>
      </c>
      <c r="F31" s="4">
        <v>-72.154112124156129</v>
      </c>
      <c r="G31" s="4">
        <v>0</v>
      </c>
      <c r="R31" s="9">
        <v>25</v>
      </c>
      <c r="S31" s="4">
        <v>1</v>
      </c>
      <c r="T31" s="4">
        <v>0</v>
      </c>
      <c r="U31" s="4">
        <v>1</v>
      </c>
    </row>
    <row r="32" spans="1:21">
      <c r="A32" s="4">
        <v>-152.23577372882926</v>
      </c>
      <c r="B32" s="4">
        <v>-241.01832195348075</v>
      </c>
      <c r="C32" s="4">
        <v>11.57449822117008</v>
      </c>
      <c r="D32" s="4">
        <v>-58.044965881950105</v>
      </c>
      <c r="E32" s="4">
        <v>27.763167351869985</v>
      </c>
      <c r="F32" s="4">
        <v>-48.386100215857788</v>
      </c>
      <c r="G32" s="4">
        <v>0</v>
      </c>
      <c r="R32" s="9">
        <v>26</v>
      </c>
      <c r="S32" s="4">
        <v>2.5429968110106494E-137</v>
      </c>
      <c r="T32" s="4">
        <v>0</v>
      </c>
      <c r="U32" s="4">
        <v>6.4668327808103323E-274</v>
      </c>
    </row>
    <row r="33" spans="1:21">
      <c r="A33" s="4">
        <v>249.82604077398059</v>
      </c>
      <c r="B33" s="4">
        <v>-125.80720039184982</v>
      </c>
      <c r="C33" s="4">
        <v>-87.491162957629129</v>
      </c>
      <c r="D33" s="4">
        <v>-56.666656866301125</v>
      </c>
      <c r="E33" s="4">
        <v>-11.674063808791892</v>
      </c>
      <c r="F33" s="4">
        <v>-6.1520169918752199</v>
      </c>
      <c r="G33" s="4">
        <v>0</v>
      </c>
      <c r="R33" s="9">
        <v>27</v>
      </c>
      <c r="S33" s="4">
        <v>2.5429968110106494E-137</v>
      </c>
      <c r="T33" s="4">
        <v>0</v>
      </c>
      <c r="U33" s="4">
        <v>6.4668327808103323E-274</v>
      </c>
    </row>
    <row r="34" spans="1:21">
      <c r="A34" s="4">
        <v>218.49009055230925</v>
      </c>
      <c r="B34" s="4">
        <v>-116.42825760175373</v>
      </c>
      <c r="C34" s="4">
        <v>-157.96326662074827</v>
      </c>
      <c r="D34" s="4">
        <v>-6.4067038387404436</v>
      </c>
      <c r="E34" s="4">
        <v>47.61372843453519</v>
      </c>
      <c r="F34" s="4">
        <v>-26.518106928733278</v>
      </c>
      <c r="G34" s="4">
        <v>0</v>
      </c>
      <c r="R34" s="9">
        <v>28</v>
      </c>
      <c r="S34" s="4">
        <v>2.5429968110106494E-137</v>
      </c>
      <c r="T34" s="4">
        <v>0</v>
      </c>
      <c r="U34" s="4">
        <v>6.4668327808103323E-274</v>
      </c>
    </row>
    <row r="35" spans="1:21">
      <c r="A35" s="4">
        <v>248.29010677620656</v>
      </c>
      <c r="B35" s="4">
        <v>-120.40847691534637</v>
      </c>
      <c r="C35" s="4">
        <v>-95.673954116363333</v>
      </c>
      <c r="D35" s="4">
        <v>-28.610754344845159</v>
      </c>
      <c r="E35" s="4">
        <v>16.933758445062704</v>
      </c>
      <c r="F35" s="4">
        <v>-25.208066265676361</v>
      </c>
      <c r="G35" s="4">
        <v>0</v>
      </c>
      <c r="R35" s="9">
        <v>29</v>
      </c>
      <c r="S35" s="4">
        <v>2.5429968110106494E-137</v>
      </c>
      <c r="T35" s="4">
        <v>0</v>
      </c>
      <c r="U35" s="4">
        <v>6.4668327808103323E-274</v>
      </c>
    </row>
    <row r="36" spans="1:21">
      <c r="A36" s="4">
        <v>30.544593751987883</v>
      </c>
      <c r="B36" s="4">
        <v>18.789901479467122</v>
      </c>
      <c r="C36" s="4">
        <v>-264.35801567734586</v>
      </c>
      <c r="D36" s="4">
        <v>66.812637874991765</v>
      </c>
      <c r="E36" s="4">
        <v>-21.225477004736973</v>
      </c>
      <c r="F36" s="4">
        <v>-30.202619490137153</v>
      </c>
      <c r="G36" s="4">
        <v>1</v>
      </c>
      <c r="R36" s="9">
        <v>30</v>
      </c>
      <c r="S36" s="4">
        <v>2.5429968110106494E-137</v>
      </c>
      <c r="T36" s="4">
        <v>0</v>
      </c>
      <c r="U36" s="4">
        <v>6.4668327808103323E-274</v>
      </c>
    </row>
    <row r="37" spans="1:21">
      <c r="A37" s="4">
        <v>-210.86725976324772</v>
      </c>
      <c r="B37" s="4">
        <v>-165.85957607965707</v>
      </c>
      <c r="C37" s="4">
        <v>-48.003258514206465</v>
      </c>
      <c r="D37" s="4">
        <v>57.711371262317627</v>
      </c>
      <c r="E37" s="4">
        <v>-49.512914913191302</v>
      </c>
      <c r="F37" s="4">
        <v>-14.341617026237873</v>
      </c>
      <c r="G37" s="4">
        <v>1</v>
      </c>
      <c r="R37" s="9">
        <v>31</v>
      </c>
      <c r="S37" s="4">
        <v>1</v>
      </c>
      <c r="T37" s="4">
        <v>1</v>
      </c>
      <c r="U37" s="4">
        <v>0</v>
      </c>
    </row>
    <row r="38" spans="1:21">
      <c r="A38" s="4">
        <v>56.074014456768239</v>
      </c>
      <c r="B38" s="4">
        <v>-5.6045258795271957</v>
      </c>
      <c r="C38" s="4">
        <v>-237.78857154629264</v>
      </c>
      <c r="D38" s="4">
        <v>81.914008246080869</v>
      </c>
      <c r="E38" s="4">
        <v>-59.239933046604179</v>
      </c>
      <c r="F38" s="4">
        <v>62.487402997673378</v>
      </c>
      <c r="G38" s="4">
        <v>1</v>
      </c>
      <c r="R38" s="9">
        <v>32</v>
      </c>
      <c r="S38" s="4">
        <v>1</v>
      </c>
      <c r="T38" s="4">
        <v>1</v>
      </c>
      <c r="U38" s="4">
        <v>0</v>
      </c>
    </row>
    <row r="39" spans="1:21">
      <c r="A39" s="4">
        <v>26.464990318274136</v>
      </c>
      <c r="B39" s="4">
        <v>219.66326653287805</v>
      </c>
      <c r="C39" s="4">
        <v>-46.319967604744157</v>
      </c>
      <c r="D39" s="4">
        <v>122.62575491093205</v>
      </c>
      <c r="E39" s="4">
        <v>-105.0016114701622</v>
      </c>
      <c r="F39" s="4">
        <v>-46.336021621441617</v>
      </c>
      <c r="G39" s="4">
        <v>1</v>
      </c>
      <c r="R39" s="9">
        <v>33</v>
      </c>
      <c r="S39" s="4">
        <v>1</v>
      </c>
      <c r="T39" s="4">
        <v>1</v>
      </c>
      <c r="U39" s="4">
        <v>0</v>
      </c>
    </row>
    <row r="40" spans="1:21">
      <c r="A40" s="4">
        <v>-90.810328720328584</v>
      </c>
      <c r="B40" s="4">
        <v>79.14017331322232</v>
      </c>
      <c r="C40" s="4">
        <v>-207.4791444341285</v>
      </c>
      <c r="D40" s="4">
        <v>-76.341620984706083</v>
      </c>
      <c r="E40" s="4">
        <v>-87.237637357832938</v>
      </c>
      <c r="F40" s="4">
        <v>-55.653310238124888</v>
      </c>
      <c r="G40" s="4">
        <v>1</v>
      </c>
      <c r="R40" s="9">
        <v>34</v>
      </c>
      <c r="S40" s="4">
        <v>1</v>
      </c>
      <c r="T40" s="4">
        <v>1</v>
      </c>
      <c r="U40" s="4">
        <v>0</v>
      </c>
    </row>
    <row r="41" spans="1:21">
      <c r="A41" s="4">
        <v>112.19950873680611</v>
      </c>
      <c r="B41" s="4">
        <v>50.470633366980515</v>
      </c>
      <c r="C41" s="4">
        <v>-237.52191039440868</v>
      </c>
      <c r="D41" s="4">
        <v>59.35625716091424</v>
      </c>
      <c r="E41" s="4">
        <v>13.121165316798781</v>
      </c>
      <c r="F41" s="4">
        <v>-59.07386567364648</v>
      </c>
      <c r="G41" s="4">
        <v>1</v>
      </c>
      <c r="R41" s="9">
        <v>35</v>
      </c>
      <c r="S41" s="4">
        <v>1</v>
      </c>
      <c r="T41" s="4">
        <v>1</v>
      </c>
      <c r="U41" s="4">
        <v>0</v>
      </c>
    </row>
    <row r="42" spans="1:21">
      <c r="R42" s="9">
        <v>36</v>
      </c>
      <c r="S42" s="4">
        <v>1</v>
      </c>
      <c r="T42" s="4">
        <v>1</v>
      </c>
      <c r="U42" s="4">
        <v>0</v>
      </c>
    </row>
    <row r="43" spans="1:21">
      <c r="T43" s="10" t="s">
        <v>19</v>
      </c>
      <c r="U43" s="4">
        <f>SUM(U7:U42)</f>
        <v>2</v>
      </c>
    </row>
  </sheetData>
  <mergeCells count="9">
    <mergeCell ref="A2:W3"/>
    <mergeCell ref="A5:F5"/>
    <mergeCell ref="R5:U5"/>
    <mergeCell ref="O23:P23"/>
    <mergeCell ref="O24:P24"/>
    <mergeCell ref="I6:J6"/>
    <mergeCell ref="I7:J7"/>
    <mergeCell ref="L17:M17"/>
    <mergeCell ref="I10:P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TRAINING DATA</vt:lpstr>
      <vt:lpstr>EAR PATTERN CLASSIFICATION</vt:lpstr>
    </vt:vector>
  </TitlesOfParts>
  <Company>Amrita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cenuser</dc:creator>
  <cp:lastModifiedBy>Aravind</cp:lastModifiedBy>
  <dcterms:created xsi:type="dcterms:W3CDTF">2010-09-04T14:15:30Z</dcterms:created>
  <dcterms:modified xsi:type="dcterms:W3CDTF">2010-10-03T09:03:21Z</dcterms:modified>
</cp:coreProperties>
</file>