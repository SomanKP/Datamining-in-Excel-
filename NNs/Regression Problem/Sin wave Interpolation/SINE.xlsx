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55" yWindow="45" windowWidth="8745" windowHeight="5715" activeTab="1"/>
  </bookViews>
  <sheets>
    <sheet name="SINE" sheetId="1" r:id="rId1"/>
    <sheet name="Sheet1" sheetId="2" r:id="rId2"/>
  </sheets>
  <definedNames>
    <definedName name="solver_adj" localSheetId="1" hidden="1">Sheet1!$J$12:$K$16,Sheet1!$K$19:$K$24</definedName>
    <definedName name="solver_cvg" localSheetId="1" hidden="1">0.000001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in" localSheetId="1" hidden="1">2</definedName>
    <definedName name="solver_neg" localSheetId="1" hidden="1">2</definedName>
    <definedName name="solver_num" localSheetId="1" hidden="1">0</definedName>
    <definedName name="solver_nwt" localSheetId="1" hidden="1">1</definedName>
    <definedName name="solver_opt" localSheetId="1" hidden="1">Sheet1!$S$24</definedName>
    <definedName name="solver_pre" localSheetId="1" hidden="1">0.000001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0.04</definedName>
    <definedName name="solver_typ" localSheetId="1" hidden="1">2</definedName>
    <definedName name="solver_val" localSheetId="1" hidden="1">0</definedName>
  </definedNames>
  <calcPr calcId="124519"/>
</workbook>
</file>

<file path=xl/calcChain.xml><?xml version="1.0" encoding="utf-8"?>
<calcChain xmlns="http://schemas.openxmlformats.org/spreadsheetml/2006/main">
  <c r="K8" i="2"/>
  <c r="L15" s="1"/>
  <c r="S8"/>
  <c r="S9"/>
  <c r="S10"/>
  <c r="S11"/>
  <c r="S12"/>
  <c r="S13"/>
  <c r="S14"/>
  <c r="S15"/>
  <c r="S16"/>
  <c r="S17"/>
  <c r="S18"/>
  <c r="S19"/>
  <c r="S20"/>
  <c r="S21"/>
  <c r="S22"/>
  <c r="S23"/>
  <c r="B25"/>
  <c r="C25" s="1"/>
  <c r="B24"/>
  <c r="C24" s="1"/>
  <c r="B23"/>
  <c r="C23" s="1"/>
  <c r="B22"/>
  <c r="C22" s="1"/>
  <c r="B21"/>
  <c r="C21" s="1"/>
  <c r="B20"/>
  <c r="C20" s="1"/>
  <c r="B19"/>
  <c r="C19" s="1"/>
  <c r="B18"/>
  <c r="C18" s="1"/>
  <c r="B17"/>
  <c r="B10"/>
  <c r="C10" s="1"/>
  <c r="B16"/>
  <c r="C16" s="1"/>
  <c r="B15"/>
  <c r="C15" s="1"/>
  <c r="B14"/>
  <c r="B13"/>
  <c r="C13" s="1"/>
  <c r="B12"/>
  <c r="C12" s="1"/>
  <c r="B11"/>
  <c r="C11" s="1"/>
  <c r="C17"/>
  <c r="C14"/>
  <c r="C9"/>
  <c r="J30" s="1"/>
  <c r="R7" s="1"/>
  <c r="L16" l="1"/>
  <c r="L14"/>
  <c r="L13"/>
  <c r="L12"/>
  <c r="J27" l="1"/>
  <c r="Q7" s="1"/>
  <c r="S7" s="1"/>
  <c r="S24" s="1"/>
  <c r="B37"/>
  <c r="B5" i="1"/>
  <c r="A6"/>
  <c r="B6"/>
  <c r="A7"/>
  <c r="B7"/>
  <c r="A8"/>
  <c r="B8"/>
  <c r="A9"/>
  <c r="B9"/>
  <c r="A10"/>
  <c r="B10"/>
  <c r="A11"/>
  <c r="B11"/>
  <c r="A12"/>
  <c r="B12"/>
  <c r="A13"/>
  <c r="B13"/>
  <c r="A14"/>
  <c r="B14"/>
  <c r="A15"/>
  <c r="B15"/>
  <c r="A16"/>
  <c r="B16"/>
  <c r="A17"/>
  <c r="B17"/>
  <c r="A18"/>
  <c r="B18"/>
  <c r="A19"/>
  <c r="B19"/>
  <c r="A20"/>
  <c r="B20"/>
  <c r="A21"/>
  <c r="B21"/>
  <c r="A22"/>
  <c r="B22"/>
  <c r="A23"/>
  <c r="B23"/>
  <c r="A24"/>
  <c r="B24"/>
  <c r="A25"/>
  <c r="B25"/>
  <c r="A26"/>
  <c r="B26"/>
  <c r="A27"/>
  <c r="B27"/>
  <c r="A28"/>
  <c r="B28"/>
  <c r="A29"/>
  <c r="B29"/>
  <c r="A30"/>
  <c r="B30"/>
  <c r="A31"/>
  <c r="B31"/>
  <c r="A32"/>
  <c r="B32"/>
  <c r="A33"/>
  <c r="B33"/>
  <c r="A34"/>
  <c r="B34"/>
  <c r="A35"/>
  <c r="B35"/>
  <c r="A36"/>
  <c r="B36"/>
  <c r="A37"/>
  <c r="B37"/>
  <c r="A38"/>
  <c r="B38"/>
  <c r="A39"/>
  <c r="B39"/>
  <c r="A40"/>
  <c r="B40"/>
  <c r="A41"/>
  <c r="B41"/>
  <c r="A42"/>
  <c r="B42"/>
  <c r="A43"/>
  <c r="B43"/>
  <c r="A44"/>
  <c r="B44"/>
  <c r="A45"/>
  <c r="B45"/>
  <c r="A46"/>
  <c r="B46"/>
  <c r="A47"/>
  <c r="B47"/>
  <c r="A48"/>
  <c r="B48"/>
  <c r="A49"/>
  <c r="B49"/>
  <c r="A50"/>
  <c r="B50"/>
  <c r="A51"/>
  <c r="B51"/>
  <c r="A52"/>
  <c r="B52"/>
  <c r="A53"/>
  <c r="B53"/>
  <c r="A54"/>
  <c r="B54"/>
  <c r="A55"/>
  <c r="B55"/>
  <c r="A56"/>
  <c r="B56"/>
  <c r="A57"/>
  <c r="B57"/>
  <c r="A58"/>
  <c r="B58"/>
  <c r="A59"/>
  <c r="B59"/>
  <c r="A60"/>
  <c r="B60"/>
  <c r="A61"/>
  <c r="B61"/>
  <c r="A62"/>
  <c r="B62"/>
  <c r="A63"/>
  <c r="B63"/>
  <c r="A64"/>
  <c r="B64"/>
  <c r="A65"/>
  <c r="B65"/>
  <c r="A66"/>
  <c r="B66"/>
  <c r="A67"/>
  <c r="B67"/>
  <c r="A68"/>
  <c r="B68"/>
  <c r="A69"/>
  <c r="B69"/>
  <c r="A70"/>
  <c r="B70"/>
  <c r="A71"/>
  <c r="B71"/>
  <c r="A72"/>
  <c r="B72"/>
  <c r="A73"/>
  <c r="B73"/>
  <c r="A74"/>
  <c r="B74"/>
  <c r="A75"/>
  <c r="B75"/>
  <c r="A76"/>
  <c r="B76"/>
  <c r="A77"/>
  <c r="B77"/>
  <c r="A78"/>
  <c r="B78"/>
  <c r="A79"/>
  <c r="B79"/>
  <c r="A80"/>
  <c r="B80"/>
  <c r="A81"/>
  <c r="B81"/>
  <c r="A82"/>
  <c r="B82"/>
  <c r="A83"/>
  <c r="B83"/>
  <c r="A84"/>
  <c r="B84"/>
  <c r="A85"/>
  <c r="B85"/>
  <c r="A86"/>
  <c r="B86"/>
  <c r="A87"/>
  <c r="B87"/>
  <c r="A88"/>
  <c r="B88"/>
  <c r="A89"/>
  <c r="B89"/>
  <c r="A90"/>
  <c r="B90"/>
  <c r="A91"/>
  <c r="B91"/>
  <c r="A92"/>
  <c r="B92"/>
  <c r="A93"/>
  <c r="B93"/>
  <c r="A94"/>
  <c r="B94"/>
  <c r="A95"/>
  <c r="B95"/>
  <c r="A96"/>
  <c r="B96"/>
  <c r="A97"/>
  <c r="B97"/>
  <c r="A98"/>
  <c r="B98"/>
  <c r="A99"/>
  <c r="B99"/>
  <c r="A100"/>
  <c r="B100"/>
  <c r="A101"/>
  <c r="B101"/>
  <c r="A102"/>
  <c r="B102"/>
  <c r="A103"/>
  <c r="B103"/>
  <c r="A104"/>
  <c r="B104"/>
  <c r="A105"/>
  <c r="B105"/>
  <c r="A106"/>
  <c r="B106"/>
  <c r="A107"/>
  <c r="B107"/>
  <c r="A108"/>
  <c r="B108"/>
  <c r="A109"/>
  <c r="B109"/>
  <c r="A110"/>
  <c r="B110"/>
  <c r="A111"/>
  <c r="B111"/>
  <c r="A112"/>
  <c r="B112"/>
  <c r="A113"/>
  <c r="B113"/>
  <c r="A114"/>
  <c r="B114"/>
  <c r="A115"/>
  <c r="B115"/>
  <c r="A116"/>
  <c r="B116"/>
  <c r="A117"/>
  <c r="B117"/>
  <c r="A118"/>
  <c r="B118"/>
  <c r="A119"/>
  <c r="B119"/>
  <c r="A120"/>
  <c r="B120"/>
  <c r="A121"/>
  <c r="B121"/>
  <c r="A122"/>
  <c r="B122"/>
  <c r="A123"/>
  <c r="B123"/>
  <c r="A124"/>
  <c r="B124"/>
  <c r="A125"/>
  <c r="B125"/>
  <c r="A126"/>
  <c r="B126"/>
  <c r="A127"/>
  <c r="B127"/>
  <c r="A128"/>
  <c r="B128"/>
  <c r="A129"/>
  <c r="B129"/>
  <c r="A130"/>
  <c r="B130"/>
  <c r="A131"/>
  <c r="B131"/>
  <c r="A132"/>
  <c r="B132"/>
  <c r="A133"/>
  <c r="B133"/>
  <c r="A134"/>
  <c r="B134"/>
  <c r="A135"/>
  <c r="B135"/>
  <c r="A136"/>
  <c r="B136"/>
  <c r="A137"/>
  <c r="B137"/>
  <c r="A138"/>
  <c r="B138"/>
  <c r="A139"/>
  <c r="B139"/>
  <c r="A140"/>
  <c r="B140"/>
  <c r="B38" i="2" l="1"/>
  <c r="J37"/>
  <c r="B39"/>
  <c r="C38"/>
  <c r="C37"/>
  <c r="U67" l="1"/>
  <c r="R37" s="1"/>
  <c r="K43"/>
  <c r="K44"/>
  <c r="K42"/>
  <c r="K46"/>
  <c r="K45"/>
  <c r="B40"/>
  <c r="C39"/>
  <c r="I58" l="1"/>
  <c r="Q37" s="1"/>
  <c r="B41"/>
  <c r="C40"/>
  <c r="B42" l="1"/>
  <c r="C41"/>
  <c r="B43" l="1"/>
  <c r="C42"/>
  <c r="B44" l="1"/>
  <c r="C43"/>
  <c r="B45" l="1"/>
  <c r="C44"/>
  <c r="B46" l="1"/>
  <c r="C45"/>
  <c r="B47" l="1"/>
  <c r="C46"/>
  <c r="B48" l="1"/>
  <c r="C47"/>
  <c r="B49" l="1"/>
  <c r="C48"/>
  <c r="B50" l="1"/>
  <c r="C49"/>
  <c r="B51" l="1"/>
  <c r="C50"/>
  <c r="B52" l="1"/>
  <c r="C51"/>
  <c r="B53" l="1"/>
  <c r="C52"/>
  <c r="B54" l="1"/>
  <c r="C53"/>
  <c r="B55" l="1"/>
  <c r="C54"/>
  <c r="B56" l="1"/>
  <c r="C55"/>
  <c r="B57" l="1"/>
  <c r="C56"/>
  <c r="B58" l="1"/>
  <c r="C57"/>
  <c r="B59" l="1"/>
  <c r="C58"/>
  <c r="B60" l="1"/>
  <c r="C59"/>
  <c r="B61" l="1"/>
  <c r="C60"/>
  <c r="B62" l="1"/>
  <c r="C61"/>
  <c r="B63" l="1"/>
  <c r="C62"/>
  <c r="B64" l="1"/>
  <c r="C63"/>
  <c r="B65" l="1"/>
  <c r="C64"/>
  <c r="B66" l="1"/>
  <c r="C65"/>
  <c r="B67" l="1"/>
  <c r="C66"/>
  <c r="B68" l="1"/>
  <c r="C67"/>
  <c r="B69" l="1"/>
  <c r="C68"/>
  <c r="B70" l="1"/>
  <c r="C69"/>
  <c r="B71" l="1"/>
  <c r="C70"/>
  <c r="B72" l="1"/>
  <c r="C71"/>
  <c r="B73" l="1"/>
  <c r="C72"/>
  <c r="B74" l="1"/>
  <c r="C73"/>
  <c r="B75" l="1"/>
  <c r="C74"/>
  <c r="B76" l="1"/>
  <c r="C75"/>
  <c r="B77" l="1"/>
  <c r="C76"/>
  <c r="B78" l="1"/>
  <c r="C77"/>
  <c r="B79" l="1"/>
  <c r="C78"/>
  <c r="B80" l="1"/>
  <c r="C79"/>
  <c r="B81" l="1"/>
  <c r="C80"/>
  <c r="B82" l="1"/>
  <c r="C81"/>
  <c r="B83" l="1"/>
  <c r="C82"/>
  <c r="B84" l="1"/>
  <c r="C83"/>
  <c r="B85" l="1"/>
  <c r="C84"/>
  <c r="B86" l="1"/>
  <c r="C85"/>
  <c r="B87" l="1"/>
  <c r="C86"/>
  <c r="B88" l="1"/>
  <c r="C87"/>
  <c r="B89" l="1"/>
  <c r="C88"/>
  <c r="B90" l="1"/>
  <c r="C89"/>
  <c r="B91" l="1"/>
  <c r="C90"/>
  <c r="B92" l="1"/>
  <c r="C91"/>
  <c r="B93" l="1"/>
  <c r="C92"/>
  <c r="B94" l="1"/>
  <c r="C93"/>
  <c r="B95" l="1"/>
  <c r="C94"/>
  <c r="B96" l="1"/>
  <c r="C95"/>
  <c r="B97" l="1"/>
  <c r="C96"/>
  <c r="B98" l="1"/>
  <c r="C97"/>
  <c r="B99" l="1"/>
  <c r="C98"/>
  <c r="B100" l="1"/>
  <c r="C99"/>
  <c r="B101" l="1"/>
  <c r="C100"/>
  <c r="B102" l="1"/>
  <c r="C101"/>
  <c r="B103" l="1"/>
  <c r="C102"/>
  <c r="B104" l="1"/>
  <c r="C103"/>
  <c r="B105" l="1"/>
  <c r="C104"/>
  <c r="B106" l="1"/>
  <c r="C105"/>
  <c r="B107" l="1"/>
  <c r="C106"/>
  <c r="B108" l="1"/>
  <c r="C107"/>
  <c r="B109" l="1"/>
  <c r="C108"/>
  <c r="B110" l="1"/>
  <c r="C109"/>
  <c r="B111" l="1"/>
  <c r="C110"/>
  <c r="B112" l="1"/>
  <c r="C111"/>
  <c r="B113" l="1"/>
  <c r="C112"/>
  <c r="B114" l="1"/>
  <c r="C113"/>
  <c r="B115" l="1"/>
  <c r="C114"/>
  <c r="B116" l="1"/>
  <c r="C115"/>
  <c r="B117" l="1"/>
  <c r="C116"/>
  <c r="B118" l="1"/>
  <c r="C117"/>
  <c r="B119" l="1"/>
  <c r="C118"/>
  <c r="B120" l="1"/>
  <c r="C119"/>
  <c r="B121" l="1"/>
  <c r="C120"/>
  <c r="B122" l="1"/>
  <c r="C121"/>
  <c r="B123" l="1"/>
  <c r="C122"/>
  <c r="B124" l="1"/>
  <c r="C123"/>
  <c r="B125" l="1"/>
  <c r="C124"/>
  <c r="B126" l="1"/>
  <c r="C125"/>
  <c r="B127" l="1"/>
  <c r="C126"/>
  <c r="B128" l="1"/>
  <c r="C127"/>
  <c r="B129" l="1"/>
  <c r="C128"/>
  <c r="B130" l="1"/>
  <c r="C129"/>
  <c r="B131" l="1"/>
  <c r="C130"/>
  <c r="B132" l="1"/>
  <c r="C131"/>
  <c r="B133" l="1"/>
  <c r="C132"/>
  <c r="B134" l="1"/>
  <c r="C133"/>
  <c r="B135" l="1"/>
  <c r="C134"/>
  <c r="B136" l="1"/>
  <c r="C135"/>
  <c r="B137" l="1"/>
  <c r="C136"/>
  <c r="B138" l="1"/>
  <c r="C137"/>
  <c r="B139" l="1"/>
  <c r="C138"/>
  <c r="B140" l="1"/>
  <c r="C139"/>
  <c r="B141" l="1"/>
  <c r="C140"/>
  <c r="B142" l="1"/>
  <c r="C141"/>
  <c r="B143" l="1"/>
  <c r="C142"/>
  <c r="B144" l="1"/>
  <c r="C143"/>
  <c r="B145" l="1"/>
  <c r="C144"/>
  <c r="B146" l="1"/>
  <c r="C145"/>
  <c r="B147" l="1"/>
  <c r="C146"/>
  <c r="B148" l="1"/>
  <c r="C147"/>
  <c r="B149" l="1"/>
  <c r="C148"/>
  <c r="B150" l="1"/>
  <c r="C149"/>
  <c r="B151" l="1"/>
  <c r="C150"/>
  <c r="B152" l="1"/>
  <c r="C151"/>
  <c r="B153" l="1"/>
  <c r="C152"/>
  <c r="B154" l="1"/>
  <c r="C153"/>
  <c r="B155" l="1"/>
  <c r="C154"/>
  <c r="B156" l="1"/>
  <c r="C155"/>
  <c r="B157" l="1"/>
  <c r="C156"/>
  <c r="B158" l="1"/>
  <c r="C157"/>
  <c r="B159" l="1"/>
  <c r="C158"/>
  <c r="B160" l="1"/>
  <c r="C159"/>
  <c r="B161" l="1"/>
  <c r="C160"/>
  <c r="B162" l="1"/>
  <c r="C161"/>
  <c r="B163" l="1"/>
  <c r="C163" s="1"/>
  <c r="C162"/>
</calcChain>
</file>

<file path=xl/sharedStrings.xml><?xml version="1.0" encoding="utf-8"?>
<sst xmlns="http://schemas.openxmlformats.org/spreadsheetml/2006/main" count="347" uniqueCount="35">
  <si>
    <t>Sine Wave Interpolator</t>
  </si>
  <si>
    <t>Copyright (C)1994, Cheshire Engineering Corp</t>
  </si>
  <si>
    <t>X</t>
  </si>
  <si>
    <t>SIN(X)</t>
  </si>
  <si>
    <t>Predicted</t>
  </si>
  <si>
    <t>MF</t>
  </si>
  <si>
    <t>TRAIN</t>
  </si>
  <si>
    <t>TEST</t>
  </si>
  <si>
    <t>TRAINING DATA</t>
  </si>
  <si>
    <t>TEST DATA</t>
  </si>
  <si>
    <t>INDEX TABLE</t>
  </si>
  <si>
    <t>obs</t>
  </si>
  <si>
    <t>HIDDEN LAYER</t>
  </si>
  <si>
    <t>OUTPUT LAYER</t>
  </si>
  <si>
    <t>Bias</t>
  </si>
  <si>
    <t>weight1</t>
  </si>
  <si>
    <t>weight2</t>
  </si>
  <si>
    <t>weight3</t>
  </si>
  <si>
    <t>WHAT IF TABLE</t>
  </si>
  <si>
    <t>weight 4</t>
  </si>
  <si>
    <t>weight 5</t>
  </si>
  <si>
    <t>Actual</t>
  </si>
  <si>
    <t>Response</t>
  </si>
  <si>
    <t>Neuron 1</t>
  </si>
  <si>
    <t>Neuron 2</t>
  </si>
  <si>
    <t>Neuron 3</t>
  </si>
  <si>
    <t>Neuron 4</t>
  </si>
  <si>
    <t>Neuron 5</t>
  </si>
  <si>
    <t>Weight 1</t>
  </si>
  <si>
    <t>OBS</t>
  </si>
  <si>
    <t>Actual value</t>
  </si>
  <si>
    <t>Obs</t>
  </si>
  <si>
    <t>Diff^2</t>
  </si>
  <si>
    <t>SIN WAVE INTERPOLATION</t>
  </si>
  <si>
    <t>ERROR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</si>
</sst>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name val="Helv"/>
    </font>
    <font>
      <b/>
      <sz val="1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b/>
      <i/>
      <sz val="10"/>
      <name val="Times New Roman"/>
      <family val="1"/>
    </font>
    <font>
      <b/>
      <sz val="16"/>
      <name val="Times New Roman"/>
      <family val="1"/>
    </font>
    <font>
      <b/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9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IN" sz="1000" b="1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r>
              <a:rPr lang="en-IN"/>
              <a:t>Sine vs Interpolated</a:t>
            </a:r>
          </a:p>
        </c:rich>
      </c:tx>
      <c:layout>
        <c:manualLayout>
          <c:xMode val="edge"/>
          <c:yMode val="edge"/>
          <c:x val="0.33936689073866561"/>
          <c:y val="3.558718861209965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764718878940363"/>
          <c:y val="0.22419928825622801"/>
          <c:w val="0.82353032152582539"/>
          <c:h val="0.67615658362989473"/>
        </c:manualLayout>
      </c:layout>
      <c:lineChart>
        <c:grouping val="standard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SINE!$B$14:$B$140</c:f>
              <c:numCache>
                <c:formatCode>General</c:formatCode>
                <c:ptCount val="127"/>
                <c:pt idx="0">
                  <c:v>0</c:v>
                </c:pt>
                <c:pt idx="1">
                  <c:v>4.9979169270678331E-2</c:v>
                </c:pt>
                <c:pt idx="2">
                  <c:v>9.9833416646828155E-2</c:v>
                </c:pt>
                <c:pt idx="3">
                  <c:v>0.14943813247359924</c:v>
                </c:pt>
                <c:pt idx="4">
                  <c:v>0.19866933079506122</c:v>
                </c:pt>
                <c:pt idx="5">
                  <c:v>0.24740395925452294</c:v>
                </c:pt>
                <c:pt idx="6">
                  <c:v>0.29552020666133955</c:v>
                </c:pt>
                <c:pt idx="7">
                  <c:v>0.34289780745545134</c:v>
                </c:pt>
                <c:pt idx="8">
                  <c:v>0.38941834230865047</c:v>
                </c:pt>
                <c:pt idx="9">
                  <c:v>0.43496553411123018</c:v>
                </c:pt>
                <c:pt idx="10">
                  <c:v>0.47942553860420295</c:v>
                </c:pt>
                <c:pt idx="11">
                  <c:v>0.52268722893065911</c:v>
                </c:pt>
                <c:pt idx="12">
                  <c:v>0.56464247339503537</c:v>
                </c:pt>
                <c:pt idx="13">
                  <c:v>0.60518640573603955</c:v>
                </c:pt>
                <c:pt idx="14">
                  <c:v>0.64421768723769113</c:v>
                </c:pt>
                <c:pt idx="15">
                  <c:v>0.68163876002333423</c:v>
                </c:pt>
                <c:pt idx="16">
                  <c:v>0.7173560908995229</c:v>
                </c:pt>
                <c:pt idx="17">
                  <c:v>0.75128040514029282</c:v>
                </c:pt>
                <c:pt idx="18">
                  <c:v>0.78332690962748353</c:v>
                </c:pt>
                <c:pt idx="19">
                  <c:v>0.81341550478937397</c:v>
                </c:pt>
                <c:pt idx="20">
                  <c:v>0.84147098480789662</c:v>
                </c:pt>
                <c:pt idx="21">
                  <c:v>0.86742322559401708</c:v>
                </c:pt>
                <c:pt idx="22">
                  <c:v>0.89120736006143553</c:v>
                </c:pt>
                <c:pt idx="23">
                  <c:v>0.91276394026052121</c:v>
                </c:pt>
                <c:pt idx="24">
                  <c:v>0.93203908596722651</c:v>
                </c:pt>
                <c:pt idx="25">
                  <c:v>0.94898461935558631</c:v>
                </c:pt>
                <c:pt idx="26">
                  <c:v>0.96355818541719307</c:v>
                </c:pt>
                <c:pt idx="27">
                  <c:v>0.9757233578266592</c:v>
                </c:pt>
                <c:pt idx="28">
                  <c:v>0.98544972998846025</c:v>
                </c:pt>
                <c:pt idx="29">
                  <c:v>0.99271299103758859</c:v>
                </c:pt>
                <c:pt idx="30">
                  <c:v>0.99749498660405445</c:v>
                </c:pt>
                <c:pt idx="31">
                  <c:v>0.99978376418935699</c:v>
                </c:pt>
                <c:pt idx="32">
                  <c:v>0.99957360304150511</c:v>
                </c:pt>
                <c:pt idx="33">
                  <c:v>0.99686502845391878</c:v>
                </c:pt>
                <c:pt idx="34">
                  <c:v>0.99166481045246846</c:v>
                </c:pt>
                <c:pt idx="35">
                  <c:v>0.9839859468739367</c:v>
                </c:pt>
                <c:pt idx="36">
                  <c:v>0.97384763087819493</c:v>
                </c:pt>
                <c:pt idx="37">
                  <c:v>0.96127520297529967</c:v>
                </c:pt>
                <c:pt idx="38">
                  <c:v>0.94630008768741414</c:v>
                </c:pt>
                <c:pt idx="39">
                  <c:v>0.92895971500386887</c:v>
                </c:pt>
                <c:pt idx="40">
                  <c:v>0.90929742682568138</c:v>
                </c:pt>
                <c:pt idx="41">
                  <c:v>0.88736236863337514</c:v>
                </c:pt>
                <c:pt idx="42">
                  <c:v>0.86320936664887349</c:v>
                </c:pt>
                <c:pt idx="43">
                  <c:v>0.83689879079849749</c:v>
                </c:pt>
                <c:pt idx="44">
                  <c:v>0.80849640381959009</c:v>
                </c:pt>
                <c:pt idx="45">
                  <c:v>0.7780731968879212</c:v>
                </c:pt>
                <c:pt idx="46">
                  <c:v>0.74570521217672026</c:v>
                </c:pt>
                <c:pt idx="47">
                  <c:v>0.71147335279084467</c:v>
                </c:pt>
                <c:pt idx="48">
                  <c:v>0.67546318055115129</c:v>
                </c:pt>
                <c:pt idx="49">
                  <c:v>0.63776470213450431</c:v>
                </c:pt>
                <c:pt idx="50">
                  <c:v>0.59847214410395722</c:v>
                </c:pt>
                <c:pt idx="51">
                  <c:v>0.55768371739141775</c:v>
                </c:pt>
                <c:pt idx="52">
                  <c:v>0.51550137182146527</c:v>
                </c:pt>
                <c:pt idx="53">
                  <c:v>0.47203054128988381</c:v>
                </c:pt>
                <c:pt idx="54">
                  <c:v>0.42737988023383139</c:v>
                </c:pt>
                <c:pt idx="55">
                  <c:v>0.38166099205233334</c:v>
                </c:pt>
                <c:pt idx="56">
                  <c:v>0.33498815015590677</c:v>
                </c:pt>
                <c:pt idx="57">
                  <c:v>0.28747801234254655</c:v>
                </c:pt>
                <c:pt idx="58">
                  <c:v>0.23924932921398456</c:v>
                </c:pt>
                <c:pt idx="59">
                  <c:v>0.19042264736102968</c:v>
                </c:pt>
                <c:pt idx="60">
                  <c:v>0.14112000805986985</c:v>
                </c:pt>
                <c:pt idx="61">
                  <c:v>9.1464642232439844E-2</c:v>
                </c:pt>
                <c:pt idx="62">
                  <c:v>4.15806624332936E-2</c:v>
                </c:pt>
                <c:pt idx="63">
                  <c:v>-8.4072473671455098E-3</c:v>
                </c:pt>
                <c:pt idx="64">
                  <c:v>-5.837414342757654E-2</c:v>
                </c:pt>
                <c:pt idx="65">
                  <c:v>-0.10819513453010485</c:v>
                </c:pt>
                <c:pt idx="66">
                  <c:v>-0.15774569414324469</c:v>
                </c:pt>
                <c:pt idx="67">
                  <c:v>-0.20690197167339586</c:v>
                </c:pt>
                <c:pt idx="68">
                  <c:v>-0.25554110202682739</c:v>
                </c:pt>
                <c:pt idx="69">
                  <c:v>-0.30354151270842511</c:v>
                </c:pt>
                <c:pt idx="70">
                  <c:v>-0.35078322768961567</c:v>
                </c:pt>
                <c:pt idx="71">
                  <c:v>-0.3971481672859557</c:v>
                </c:pt>
                <c:pt idx="72">
                  <c:v>-0.44252044329484808</c:v>
                </c:pt>
                <c:pt idx="73">
                  <c:v>-0.48678664865569515</c:v>
                </c:pt>
                <c:pt idx="74">
                  <c:v>-0.52983614090848885</c:v>
                </c:pt>
                <c:pt idx="75">
                  <c:v>-0.5715613187423394</c:v>
                </c:pt>
                <c:pt idx="76">
                  <c:v>-0.6118578909427147</c:v>
                </c:pt>
                <c:pt idx="77">
                  <c:v>-0.65062513706516301</c:v>
                </c:pt>
                <c:pt idx="78">
                  <c:v>-0.68776615918396955</c:v>
                </c:pt>
                <c:pt idx="79">
                  <c:v>-0.72318812408650779</c:v>
                </c:pt>
                <c:pt idx="80">
                  <c:v>-0.75680249530792421</c:v>
                </c:pt>
                <c:pt idx="81">
                  <c:v>-0.78852525442619115</c:v>
                </c:pt>
                <c:pt idx="82">
                  <c:v>-0.8182771110644067</c:v>
                </c:pt>
                <c:pt idx="83">
                  <c:v>-0.84598370107544274</c:v>
                </c:pt>
                <c:pt idx="84">
                  <c:v>-0.87157577241358464</c:v>
                </c:pt>
                <c:pt idx="85">
                  <c:v>-0.89498935822858039</c:v>
                </c:pt>
                <c:pt idx="86">
                  <c:v>-0.91616593674945201</c:v>
                </c:pt>
                <c:pt idx="87">
                  <c:v>-0.93505257755844651</c:v>
                </c:pt>
                <c:pt idx="88">
                  <c:v>-0.95160207388951357</c:v>
                </c:pt>
                <c:pt idx="89">
                  <c:v>-0.96577306062063673</c:v>
                </c:pt>
                <c:pt idx="90">
                  <c:v>-0.97753011766509534</c:v>
                </c:pt>
                <c:pt idx="91">
                  <c:v>-0.9868438585032353</c:v>
                </c:pt>
                <c:pt idx="92">
                  <c:v>-0.99369100363346352</c:v>
                </c:pt>
                <c:pt idx="93">
                  <c:v>-0.99805443875887889</c:v>
                </c:pt>
                <c:pt idx="94">
                  <c:v>-0.99992325756410083</c:v>
                </c:pt>
                <c:pt idx="95">
                  <c:v>-0.99929278897537832</c:v>
                </c:pt>
                <c:pt idx="96">
                  <c:v>-0.99616460883584146</c:v>
                </c:pt>
                <c:pt idx="97">
                  <c:v>-0.99054653596671449</c:v>
                </c:pt>
                <c:pt idx="98">
                  <c:v>-0.98245261262433425</c:v>
                </c:pt>
                <c:pt idx="99">
                  <c:v>-0.97190306940182303</c:v>
                </c:pt>
                <c:pt idx="100">
                  <c:v>-0.95892427466314123</c:v>
                </c:pt>
                <c:pt idx="101">
                  <c:v>-0.9435486686359098</c:v>
                </c:pt>
                <c:pt idx="102">
                  <c:v>-0.92581468232773612</c:v>
                </c:pt>
                <c:pt idx="103">
                  <c:v>-0.905766641468709</c:v>
                </c:pt>
                <c:pt idx="104">
                  <c:v>-0.88345465572015813</c:v>
                </c:pt>
                <c:pt idx="105">
                  <c:v>-0.85893449342659745</c:v>
                </c:pt>
                <c:pt idx="106">
                  <c:v>-0.83226744222390714</c:v>
                </c:pt>
                <c:pt idx="107">
                  <c:v>-0.80352015585216219</c:v>
                </c:pt>
                <c:pt idx="108">
                  <c:v>-0.77276448755599447</c:v>
                </c:pt>
                <c:pt idx="109">
                  <c:v>-0.74007731048890213</c:v>
                </c:pt>
                <c:pt idx="110">
                  <c:v>-0.70554032557040014</c:v>
                </c:pt>
                <c:pt idx="111">
                  <c:v>-0.66923985727627056</c:v>
                </c:pt>
                <c:pt idx="112">
                  <c:v>-0.6312666378723305</c:v>
                </c:pt>
                <c:pt idx="113">
                  <c:v>-0.59171558063101937</c:v>
                </c:pt>
                <c:pt idx="114">
                  <c:v>-0.55068554259764801</c:v>
                </c:pt>
                <c:pt idx="115">
                  <c:v>-0.50827907749926904</c:v>
                </c:pt>
                <c:pt idx="116">
                  <c:v>-0.46460217941376836</c:v>
                </c:pt>
                <c:pt idx="117">
                  <c:v>-0.41976401783987094</c:v>
                </c:pt>
                <c:pt idx="118">
                  <c:v>-0.3738766648302484</c:v>
                </c:pt>
                <c:pt idx="119">
                  <c:v>-0.32705481486975324</c:v>
                </c:pt>
                <c:pt idx="120">
                  <c:v>-0.27941549819893868</c:v>
                </c:pt>
                <c:pt idx="121">
                  <c:v>-0.2310777882994052</c:v>
                </c:pt>
                <c:pt idx="122">
                  <c:v>-0.18216250427210898</c:v>
                </c:pt>
                <c:pt idx="123">
                  <c:v>-0.13279190885253081</c:v>
                </c:pt>
                <c:pt idx="124">
                  <c:v>-8.3089402817510566E-2</c:v>
                </c:pt>
                <c:pt idx="125">
                  <c:v>-3.3179216547571021E-2</c:v>
                </c:pt>
                <c:pt idx="126">
                  <c:v>1.6813900484335505E-2</c:v>
                </c:pt>
              </c:numCache>
            </c:numRef>
          </c:val>
        </c:ser>
        <c:ser>
          <c:idx val="1"/>
          <c:order val="1"/>
          <c:spPr>
            <a:ln w="12700">
              <a:solidFill>
                <a:srgbClr val="00FF00"/>
              </a:solidFill>
              <a:prstDash val="solid"/>
            </a:ln>
          </c:spPr>
          <c:marker>
            <c:symbol val="none"/>
          </c:marker>
          <c:val>
            <c:numRef>
              <c:f>SINE!$C$14:$C$140</c:f>
              <c:numCache>
                <c:formatCode>General</c:formatCode>
                <c:ptCount val="127"/>
              </c:numCache>
            </c:numRef>
          </c:val>
        </c:ser>
        <c:marker val="1"/>
        <c:axId val="210211968"/>
        <c:axId val="210213504"/>
      </c:lineChart>
      <c:catAx>
        <c:axId val="210211968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0213504"/>
        <c:crosses val="autoZero"/>
        <c:lblAlgn val="ctr"/>
        <c:lblOffset val="100"/>
        <c:tickLblSkip val="9"/>
        <c:tickMarkSkip val="1"/>
      </c:catAx>
      <c:valAx>
        <c:axId val="210213504"/>
        <c:scaling>
          <c:orientation val="minMax"/>
        </c:scaling>
        <c:axPos val="l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0211968"/>
        <c:crosses val="autoZero"/>
        <c:crossBetween val="midCat"/>
      </c:valAx>
      <c:spPr>
        <a:noFill/>
        <a:ln w="25400">
          <a:noFill/>
        </a:ln>
      </c:spPr>
    </c:plotArea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>
      <c:oddHeader>&amp;F</c:oddHeader>
      <c:oddFooter>Page &amp;P</c:oddFooter>
    </c:headerFooter>
    <c:pageMargins b="1" l="0.750000000000001" r="0.750000000000001" t="1" header="0.5" footer="0.5"/>
    <c:pageSetup orientation="landscape" horizontalDpi="-4" verticalDpi="-4" copies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ndard"/>
        <c:ser>
          <c:idx val="0"/>
          <c:order val="0"/>
          <c:tx>
            <c:v>Predicted value</c:v>
          </c:tx>
          <c:marker>
            <c:symbol val="none"/>
          </c:marker>
          <c:val>
            <c:numRef>
              <c:f>Sheet1!$Q$37:$Q$163</c:f>
              <c:numCache>
                <c:formatCode>General</c:formatCode>
                <c:ptCount val="127"/>
                <c:pt idx="0">
                  <c:v>-2.7841762065605735E-3</c:v>
                </c:pt>
                <c:pt idx="1">
                  <c:v>5.0781542828797654E-2</c:v>
                </c:pt>
                <c:pt idx="2">
                  <c:v>0.10346399317665878</c:v>
                </c:pt>
                <c:pt idx="3">
                  <c:v>0.15521522831510559</c:v>
                </c:pt>
                <c:pt idx="4">
                  <c:v>0.20598069470980107</c:v>
                </c:pt>
                <c:pt idx="5">
                  <c:v>0.25570399645964592</c:v>
                </c:pt>
                <c:pt idx="6">
                  <c:v>0.3043277650133458</c:v>
                </c:pt>
                <c:pt idx="7">
                  <c:v>0.35179388441662773</c:v>
                </c:pt>
                <c:pt idx="8">
                  <c:v>0.39804361374148201</c:v>
                </c:pt>
                <c:pt idx="9">
                  <c:v>0.44301769835554161</c:v>
                </c:pt>
                <c:pt idx="10">
                  <c:v>0.48665648640713144</c:v>
                </c:pt>
                <c:pt idx="11">
                  <c:v>0.5289000540010953</c:v>
                </c:pt>
                <c:pt idx="12">
                  <c:v>0.56968834014843317</c:v>
                </c:pt>
                <c:pt idx="13">
                  <c:v>0.60896129201675464</c:v>
                </c:pt>
                <c:pt idx="14">
                  <c:v>0.64665902080565374</c:v>
                </c:pt>
                <c:pt idx="15">
                  <c:v>0.68272196845091315</c:v>
                </c:pt>
                <c:pt idx="16">
                  <c:v>0.71709108526493814</c:v>
                </c:pt>
                <c:pt idx="17">
                  <c:v>0.74970801853012681</c:v>
                </c:pt>
                <c:pt idx="18">
                  <c:v>0.78051531197016821</c:v>
                </c:pt>
                <c:pt idx="19">
                  <c:v>0.80945661592743434</c:v>
                </c:pt>
                <c:pt idx="20">
                  <c:v>0.83647690797114826</c:v>
                </c:pt>
                <c:pt idx="21">
                  <c:v>0.8615227235499674</c:v>
                </c:pt>
                <c:pt idx="22">
                  <c:v>0.88454239618335251</c:v>
                </c:pt>
                <c:pt idx="23">
                  <c:v>0.90548630655932527</c:v>
                </c:pt>
                <c:pt idx="24">
                  <c:v>0.92430713977179479</c:v>
                </c:pt>
                <c:pt idx="25">
                  <c:v>0.94096014978984677</c:v>
                </c:pt>
                <c:pt idx="26">
                  <c:v>0.95540343010458351</c:v>
                </c:pt>
                <c:pt idx="27">
                  <c:v>0.96759818934840958</c:v>
                </c:pt>
                <c:pt idx="28">
                  <c:v>0.97750903052767057</c:v>
                </c:pt>
                <c:pt idx="29">
                  <c:v>0.98510423235482847</c:v>
                </c:pt>
                <c:pt idx="30">
                  <c:v>0.99035603101222236</c:v>
                </c:pt>
                <c:pt idx="31">
                  <c:v>0.99324090052904701</c:v>
                </c:pt>
                <c:pt idx="32">
                  <c:v>0.99373982980806375</c:v>
                </c:pt>
                <c:pt idx="33">
                  <c:v>0.99183859420208087</c:v>
                </c:pt>
                <c:pt idx="34">
                  <c:v>0.98752801941525092</c:v>
                </c:pt>
                <c:pt idx="35">
                  <c:v>0.98080423539338391</c:v>
                </c:pt>
                <c:pt idx="36">
                  <c:v>0.97166891777423814</c:v>
                </c:pt>
                <c:pt idx="37">
                  <c:v>0.96012951439644389</c:v>
                </c:pt>
                <c:pt idx="38">
                  <c:v>0.94619945431659858</c:v>
                </c:pt>
                <c:pt idx="39">
                  <c:v>0.92989833676254641</c:v>
                </c:pt>
                <c:pt idx="40">
                  <c:v>0.91125209745828073</c:v>
                </c:pt>
                <c:pt idx="41">
                  <c:v>0.89029314979607932</c:v>
                </c:pt>
                <c:pt idx="42">
                  <c:v>0.86706049840571708</c:v>
                </c:pt>
                <c:pt idx="43">
                  <c:v>0.84159982278122136</c:v>
                </c:pt>
                <c:pt idx="44">
                  <c:v>0.81396352877361089</c:v>
                </c:pt>
                <c:pt idx="45">
                  <c:v>0.78421076594397476</c:v>
                </c:pt>
                <c:pt idx="46">
                  <c:v>0.75240740899516823</c:v>
                </c:pt>
                <c:pt idx="47">
                  <c:v>0.71862600176142877</c:v>
                </c:pt>
                <c:pt idx="48">
                  <c:v>0.68294566253167233</c:v>
                </c:pt>
                <c:pt idx="49">
                  <c:v>0.64545194981170084</c:v>
                </c:pt>
                <c:pt idx="50">
                  <c:v>0.6062366879898704</c:v>
                </c:pt>
                <c:pt idx="51">
                  <c:v>0.56539775275557957</c:v>
                </c:pt>
                <c:pt idx="52">
                  <c:v>0.52303881652570894</c:v>
                </c:pt>
                <c:pt idx="53">
                  <c:v>0.4792690545549334</c:v>
                </c:pt>
                <c:pt idx="54">
                  <c:v>0.43420281283570183</c:v>
                </c:pt>
                <c:pt idx="55">
                  <c:v>0.38795923932590526</c:v>
                </c:pt>
                <c:pt idx="56">
                  <c:v>0.34066188046942258</c:v>
                </c:pt>
                <c:pt idx="57">
                  <c:v>0.29243824539011243</c:v>
                </c:pt>
                <c:pt idx="58">
                  <c:v>0.24341934053554581</c:v>
                </c:pt>
                <c:pt idx="59">
                  <c:v>0.19373917791574868</c:v>
                </c:pt>
                <c:pt idx="60">
                  <c:v>0.14353426041800077</c:v>
                </c:pt>
                <c:pt idx="61">
                  <c:v>9.2943047973879089E-2</c:v>
                </c:pt>
                <c:pt idx="62">
                  <c:v>4.2105408604744099E-2</c:v>
                </c:pt>
                <c:pt idx="63">
                  <c:v>-8.8379414292134584E-3</c:v>
                </c:pt>
                <c:pt idx="64">
                  <c:v>-5.9746004006964171E-2</c:v>
                </c:pt>
                <c:pt idx="65">
                  <c:v>-0.11047806759548884</c:v>
                </c:pt>
                <c:pt idx="66">
                  <c:v>-0.16089427328590311</c:v>
                </c:pt>
                <c:pt idx="67">
                  <c:v>-0.2108561739658068</c:v>
                </c:pt>
                <c:pt idx="68">
                  <c:v>-0.26022728226875103</c:v>
                </c:pt>
                <c:pt idx="69">
                  <c:v>-0.30887360309066025</c:v>
                </c:pt>
                <c:pt idx="70">
                  <c:v>-0.35666414666673951</c:v>
                </c:pt>
                <c:pt idx="71">
                  <c:v>-0.40347141845632351</c:v>
                </c:pt>
                <c:pt idx="72">
                  <c:v>-0.44917188238208716</c:v>
                </c:pt>
                <c:pt idx="73">
                  <c:v>-0.49364639430885227</c:v>
                </c:pt>
                <c:pt idx="74">
                  <c:v>-0.53678060301870012</c:v>
                </c:pt>
                <c:pt idx="75">
                  <c:v>-0.57846531633684251</c:v>
                </c:pt>
                <c:pt idx="76">
                  <c:v>-0.61859683047916469</c:v>
                </c:pt>
                <c:pt idx="77">
                  <c:v>-0.65707722112007971</c:v>
                </c:pt>
                <c:pt idx="78">
                  <c:v>-0.69381459511144961</c:v>
                </c:pt>
                <c:pt idx="79">
                  <c:v>-0.72872330221218284</c:v>
                </c:pt>
                <c:pt idx="80">
                  <c:v>-0.76172410660721823</c:v>
                </c:pt>
                <c:pt idx="81">
                  <c:v>-0.79274431839735726</c:v>
                </c:pt>
                <c:pt idx="82">
                  <c:v>-0.82171788562227199</c:v>
                </c:pt>
                <c:pt idx="83">
                  <c:v>-0.84858544773153888</c:v>
                </c:pt>
                <c:pt idx="84">
                  <c:v>-0.87329435173813863</c:v>
                </c:pt>
                <c:pt idx="85">
                  <c:v>-0.89579863256850345</c:v>
                </c:pt>
                <c:pt idx="86">
                  <c:v>-0.9160589593557944</c:v>
                </c:pt>
                <c:pt idx="87">
                  <c:v>-0.93404254959674127</c:v>
                </c:pt>
                <c:pt idx="88">
                  <c:v>-0.94972305318767525</c:v>
                </c:pt>
                <c:pt idx="89">
                  <c:v>-0.96308040833790365</c:v>
                </c:pt>
                <c:pt idx="90">
                  <c:v>-0.97410067116452481</c:v>
                </c:pt>
                <c:pt idx="91">
                  <c:v>-0.98277582028346089</c:v>
                </c:pt>
                <c:pt idx="92">
                  <c:v>-0.98910353670697582</c:v>
                </c:pt>
                <c:pt idx="93">
                  <c:v>-0.99308695742627862</c:v>
                </c:pt>
                <c:pt idx="94">
                  <c:v>-0.99473439743490388</c:v>
                </c:pt>
                <c:pt idx="95">
                  <c:v>-0.9940590282122681</c:v>
                </c:pt>
                <c:pt idx="96">
                  <c:v>-0.99107848820292155</c:v>
                </c:pt>
                <c:pt idx="97">
                  <c:v>-0.98581437772938507</c:v>
                </c:pt>
                <c:pt idx="98">
                  <c:v>-0.97829154813729602</c:v>
                </c:pt>
                <c:pt idx="99">
                  <c:v>-0.9685370166102576</c:v>
                </c:pt>
                <c:pt idx="100">
                  <c:v>-0.95657819536718058</c:v>
                </c:pt>
                <c:pt idx="101">
                  <c:v>-0.94243986856836592</c:v>
                </c:pt>
                <c:pt idx="102">
                  <c:v>-0.92613890920977937</c:v>
                </c:pt>
                <c:pt idx="103">
                  <c:v>-0.90767502194538174</c:v>
                </c:pt>
                <c:pt idx="104">
                  <c:v>-0.88701485944114644</c:v>
                </c:pt>
                <c:pt idx="105">
                  <c:v>-0.86406630224406555</c:v>
                </c:pt>
                <c:pt idx="106">
                  <c:v>-0.83864211909404496</c:v>
                </c:pt>
                <c:pt idx="107">
                  <c:v>-0.8104252353080188</c:v>
                </c:pt>
                <c:pt idx="108">
                  <c:v>-0.77898508320783222</c:v>
                </c:pt>
                <c:pt idx="109">
                  <c:v>-0.74395143402044539</c:v>
                </c:pt>
                <c:pt idx="110">
                  <c:v>-0.70541756664742827</c:v>
                </c:pt>
                <c:pt idx="111">
                  <c:v>-0.66430871051771234</c:v>
                </c:pt>
                <c:pt idx="112">
                  <c:v>-0.62211279641769757</c:v>
                </c:pt>
                <c:pt idx="113">
                  <c:v>-0.58000307172228105</c:v>
                </c:pt>
                <c:pt idx="114">
                  <c:v>-0.53831486026686548</c:v>
                </c:pt>
                <c:pt idx="115">
                  <c:v>-0.49677482621673263</c:v>
                </c:pt>
                <c:pt idx="116">
                  <c:v>-0.45494616262520893</c:v>
                </c:pt>
                <c:pt idx="117">
                  <c:v>-0.41247529252606974</c:v>
                </c:pt>
                <c:pt idx="118">
                  <c:v>-0.36914419106556373</c:v>
                </c:pt>
                <c:pt idx="119">
                  <c:v>-0.32484386061701365</c:v>
                </c:pt>
                <c:pt idx="120">
                  <c:v>-0.27953618006375969</c:v>
                </c:pt>
                <c:pt idx="121">
                  <c:v>-0.23322479521556083</c:v>
                </c:pt>
                <c:pt idx="122">
                  <c:v>-0.18593665176843288</c:v>
                </c:pt>
                <c:pt idx="123">
                  <c:v>-0.13771117610853523</c:v>
                </c:pt>
                <c:pt idx="124">
                  <c:v>-8.8594171041895819E-2</c:v>
                </c:pt>
                <c:pt idx="125">
                  <c:v>-3.8634430840074785E-2</c:v>
                </c:pt>
                <c:pt idx="126">
                  <c:v>1.2118124654492135E-2</c:v>
                </c:pt>
              </c:numCache>
            </c:numRef>
          </c:val>
        </c:ser>
        <c:marker val="1"/>
        <c:axId val="208974976"/>
        <c:axId val="208976512"/>
      </c:lineChart>
      <c:catAx>
        <c:axId val="208974976"/>
        <c:scaling>
          <c:orientation val="minMax"/>
        </c:scaling>
        <c:axPos val="b"/>
        <c:tickLblPos val="nextTo"/>
        <c:crossAx val="208976512"/>
        <c:crosses val="autoZero"/>
        <c:auto val="1"/>
        <c:lblAlgn val="ctr"/>
        <c:lblOffset val="100"/>
      </c:catAx>
      <c:valAx>
        <c:axId val="208976512"/>
        <c:scaling>
          <c:orientation val="minMax"/>
        </c:scaling>
        <c:axPos val="l"/>
        <c:majorGridlines/>
        <c:numFmt formatCode="General" sourceLinked="1"/>
        <c:tickLblPos val="nextTo"/>
        <c:crossAx val="20897497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/>
    <c:plotArea>
      <c:layout>
        <c:manualLayout>
          <c:layoutTarget val="inner"/>
          <c:xMode val="edge"/>
          <c:yMode val="edge"/>
          <c:x val="0.12730582044078662"/>
          <c:y val="0.22263258759321752"/>
          <c:w val="0.55123676123399146"/>
          <c:h val="0.71862392200974901"/>
        </c:manualLayout>
      </c:layout>
      <c:lineChart>
        <c:grouping val="standard"/>
        <c:ser>
          <c:idx val="0"/>
          <c:order val="0"/>
          <c:tx>
            <c:v>Actual Value</c:v>
          </c:tx>
          <c:marker>
            <c:symbol val="none"/>
          </c:marker>
          <c:val>
            <c:numRef>
              <c:f>Sheet1!$R$37:$R$163</c:f>
              <c:numCache>
                <c:formatCode>General</c:formatCode>
                <c:ptCount val="127"/>
                <c:pt idx="0">
                  <c:v>0</c:v>
                </c:pt>
                <c:pt idx="1">
                  <c:v>4.9979169270678331E-2</c:v>
                </c:pt>
                <c:pt idx="2">
                  <c:v>9.9833416646828155E-2</c:v>
                </c:pt>
                <c:pt idx="3">
                  <c:v>0.14943813247359924</c:v>
                </c:pt>
                <c:pt idx="4">
                  <c:v>0.19866933079506122</c:v>
                </c:pt>
                <c:pt idx="5">
                  <c:v>0.24740395925452294</c:v>
                </c:pt>
                <c:pt idx="6">
                  <c:v>0.29552020666133955</c:v>
                </c:pt>
                <c:pt idx="7">
                  <c:v>0.34289780745545134</c:v>
                </c:pt>
                <c:pt idx="8">
                  <c:v>0.38941834230865047</c:v>
                </c:pt>
                <c:pt idx="9">
                  <c:v>0.43496553411123018</c:v>
                </c:pt>
                <c:pt idx="10">
                  <c:v>0.47942553860420295</c:v>
                </c:pt>
                <c:pt idx="11">
                  <c:v>0.52268722893065911</c:v>
                </c:pt>
                <c:pt idx="12">
                  <c:v>0.56464247339503537</c:v>
                </c:pt>
                <c:pt idx="13">
                  <c:v>0.60518640573603955</c:v>
                </c:pt>
                <c:pt idx="14">
                  <c:v>0.64421768723769113</c:v>
                </c:pt>
                <c:pt idx="15">
                  <c:v>0.68163876002333423</c:v>
                </c:pt>
                <c:pt idx="16">
                  <c:v>0.7173560908995229</c:v>
                </c:pt>
                <c:pt idx="17">
                  <c:v>0.75128040514029282</c:v>
                </c:pt>
                <c:pt idx="18">
                  <c:v>0.78332690962748353</c:v>
                </c:pt>
                <c:pt idx="19">
                  <c:v>0.81341550478937397</c:v>
                </c:pt>
                <c:pt idx="20">
                  <c:v>0.84147098480789662</c:v>
                </c:pt>
                <c:pt idx="21">
                  <c:v>0.86742322559401708</c:v>
                </c:pt>
                <c:pt idx="22">
                  <c:v>0.89120736006143553</c:v>
                </c:pt>
                <c:pt idx="23">
                  <c:v>0.91276394026052121</c:v>
                </c:pt>
                <c:pt idx="24">
                  <c:v>0.93203908596722651</c:v>
                </c:pt>
                <c:pt idx="25">
                  <c:v>0.94898461935558631</c:v>
                </c:pt>
                <c:pt idx="26">
                  <c:v>0.96355818541719307</c:v>
                </c:pt>
                <c:pt idx="27">
                  <c:v>0.9757233578266592</c:v>
                </c:pt>
                <c:pt idx="28">
                  <c:v>0.98544972998846025</c:v>
                </c:pt>
                <c:pt idx="29">
                  <c:v>0.99271299103758859</c:v>
                </c:pt>
                <c:pt idx="30">
                  <c:v>0.99749498660405445</c:v>
                </c:pt>
                <c:pt idx="31">
                  <c:v>0.99978376418935699</c:v>
                </c:pt>
                <c:pt idx="32">
                  <c:v>0.99957360304150511</c:v>
                </c:pt>
                <c:pt idx="33">
                  <c:v>0.99686502845391878</c:v>
                </c:pt>
                <c:pt idx="34">
                  <c:v>0.99166481045246846</c:v>
                </c:pt>
                <c:pt idx="35">
                  <c:v>0.9839859468739367</c:v>
                </c:pt>
                <c:pt idx="36">
                  <c:v>0.97384763087819493</c:v>
                </c:pt>
                <c:pt idx="37">
                  <c:v>0.96127520297529967</c:v>
                </c:pt>
                <c:pt idx="38">
                  <c:v>0.94630008768741414</c:v>
                </c:pt>
                <c:pt idx="39">
                  <c:v>0.92895971500386887</c:v>
                </c:pt>
                <c:pt idx="40">
                  <c:v>0.90929742682568138</c:v>
                </c:pt>
                <c:pt idx="41">
                  <c:v>0.88736236863337514</c:v>
                </c:pt>
                <c:pt idx="42">
                  <c:v>0.86320936664887349</c:v>
                </c:pt>
                <c:pt idx="43">
                  <c:v>0.83689879079849749</c:v>
                </c:pt>
                <c:pt idx="44">
                  <c:v>0.80849640381959009</c:v>
                </c:pt>
                <c:pt idx="45">
                  <c:v>0.7780731968879212</c:v>
                </c:pt>
                <c:pt idx="46">
                  <c:v>0.74570521217672026</c:v>
                </c:pt>
                <c:pt idx="47">
                  <c:v>0.71147335279084467</c:v>
                </c:pt>
                <c:pt idx="48">
                  <c:v>0.67546318055115129</c:v>
                </c:pt>
                <c:pt idx="49">
                  <c:v>0.63776470213450431</c:v>
                </c:pt>
                <c:pt idx="50">
                  <c:v>0.59847214410395722</c:v>
                </c:pt>
                <c:pt idx="51">
                  <c:v>0.55768371739141775</c:v>
                </c:pt>
                <c:pt idx="52">
                  <c:v>0.51550137182146527</c:v>
                </c:pt>
                <c:pt idx="53">
                  <c:v>0.47203054128988381</c:v>
                </c:pt>
                <c:pt idx="54">
                  <c:v>0.42737988023383139</c:v>
                </c:pt>
                <c:pt idx="55">
                  <c:v>0.38166099205233334</c:v>
                </c:pt>
                <c:pt idx="56">
                  <c:v>0.33498815015590677</c:v>
                </c:pt>
                <c:pt idx="57">
                  <c:v>0.28747801234254655</c:v>
                </c:pt>
                <c:pt idx="58">
                  <c:v>0.23924932921398456</c:v>
                </c:pt>
                <c:pt idx="59">
                  <c:v>0.19042264736102968</c:v>
                </c:pt>
                <c:pt idx="60">
                  <c:v>0.14112000805986985</c:v>
                </c:pt>
                <c:pt idx="61">
                  <c:v>9.1464642232439844E-2</c:v>
                </c:pt>
                <c:pt idx="62">
                  <c:v>4.15806624332936E-2</c:v>
                </c:pt>
                <c:pt idx="63">
                  <c:v>-8.4072473671455098E-3</c:v>
                </c:pt>
                <c:pt idx="64">
                  <c:v>-5.837414342757654E-2</c:v>
                </c:pt>
                <c:pt idx="65">
                  <c:v>-0.10819513453010485</c:v>
                </c:pt>
                <c:pt idx="66">
                  <c:v>-0.15774569414324469</c:v>
                </c:pt>
                <c:pt idx="67">
                  <c:v>-0.20690197167339586</c:v>
                </c:pt>
                <c:pt idx="68">
                  <c:v>-0.25554110202682739</c:v>
                </c:pt>
                <c:pt idx="69">
                  <c:v>-0.30354151270842511</c:v>
                </c:pt>
                <c:pt idx="70">
                  <c:v>-0.35078322768961567</c:v>
                </c:pt>
                <c:pt idx="71">
                  <c:v>-0.3971481672859557</c:v>
                </c:pt>
                <c:pt idx="72">
                  <c:v>-0.44252044329484808</c:v>
                </c:pt>
                <c:pt idx="73">
                  <c:v>-0.48678664865569515</c:v>
                </c:pt>
                <c:pt idx="74">
                  <c:v>-0.52983614090848885</c:v>
                </c:pt>
                <c:pt idx="75">
                  <c:v>-0.5715613187423394</c:v>
                </c:pt>
                <c:pt idx="76">
                  <c:v>-0.6118578909427147</c:v>
                </c:pt>
                <c:pt idx="77">
                  <c:v>-0.65062513706516301</c:v>
                </c:pt>
                <c:pt idx="78">
                  <c:v>-0.68776615918396955</c:v>
                </c:pt>
                <c:pt idx="79">
                  <c:v>-0.72318812408650779</c:v>
                </c:pt>
                <c:pt idx="80">
                  <c:v>-0.75680249530792421</c:v>
                </c:pt>
                <c:pt idx="81">
                  <c:v>-0.78852525442619115</c:v>
                </c:pt>
                <c:pt idx="82">
                  <c:v>-0.8182771110644067</c:v>
                </c:pt>
                <c:pt idx="83">
                  <c:v>-0.84598370107544274</c:v>
                </c:pt>
                <c:pt idx="84">
                  <c:v>-0.87157577241358464</c:v>
                </c:pt>
                <c:pt idx="85">
                  <c:v>-0.89498935822858039</c:v>
                </c:pt>
                <c:pt idx="86">
                  <c:v>-0.91616593674945201</c:v>
                </c:pt>
                <c:pt idx="87">
                  <c:v>-0.93505257755844651</c:v>
                </c:pt>
                <c:pt idx="88">
                  <c:v>-0.95160207388951357</c:v>
                </c:pt>
                <c:pt idx="89">
                  <c:v>-0.96577306062063673</c:v>
                </c:pt>
                <c:pt idx="90">
                  <c:v>-0.97753011766509534</c:v>
                </c:pt>
                <c:pt idx="91">
                  <c:v>-0.9868438585032353</c:v>
                </c:pt>
                <c:pt idx="92">
                  <c:v>-0.99369100363346352</c:v>
                </c:pt>
                <c:pt idx="93">
                  <c:v>-0.99805443875887889</c:v>
                </c:pt>
                <c:pt idx="94">
                  <c:v>-0.99992325756410083</c:v>
                </c:pt>
                <c:pt idx="95">
                  <c:v>-0.99929278897537832</c:v>
                </c:pt>
                <c:pt idx="96">
                  <c:v>-0.99616460883584146</c:v>
                </c:pt>
                <c:pt idx="97">
                  <c:v>-0.99054653596671449</c:v>
                </c:pt>
                <c:pt idx="98">
                  <c:v>-0.98245261262433425</c:v>
                </c:pt>
                <c:pt idx="99">
                  <c:v>-0.97190306940182303</c:v>
                </c:pt>
                <c:pt idx="100">
                  <c:v>-0.95892427466314123</c:v>
                </c:pt>
                <c:pt idx="101">
                  <c:v>-0.9435486686359098</c:v>
                </c:pt>
                <c:pt idx="102">
                  <c:v>-0.92581468232773612</c:v>
                </c:pt>
                <c:pt idx="103">
                  <c:v>-0.905766641468709</c:v>
                </c:pt>
                <c:pt idx="104">
                  <c:v>-0.88345465572015813</c:v>
                </c:pt>
                <c:pt idx="105">
                  <c:v>-0.85893449342659745</c:v>
                </c:pt>
                <c:pt idx="106">
                  <c:v>-0.83226744222390714</c:v>
                </c:pt>
                <c:pt idx="107">
                  <c:v>-0.80352015585216219</c:v>
                </c:pt>
                <c:pt idx="108">
                  <c:v>-0.77276448755599447</c:v>
                </c:pt>
                <c:pt idx="109">
                  <c:v>-0.74007731048890213</c:v>
                </c:pt>
                <c:pt idx="110">
                  <c:v>-0.70554032557040014</c:v>
                </c:pt>
                <c:pt idx="111">
                  <c:v>-0.66923985727627056</c:v>
                </c:pt>
                <c:pt idx="112">
                  <c:v>-0.6312666378723305</c:v>
                </c:pt>
                <c:pt idx="113">
                  <c:v>-0.59171558063101937</c:v>
                </c:pt>
                <c:pt idx="114">
                  <c:v>-0.55068554259764801</c:v>
                </c:pt>
                <c:pt idx="115">
                  <c:v>-0.50827907749926904</c:v>
                </c:pt>
                <c:pt idx="116">
                  <c:v>-0.46460217941376836</c:v>
                </c:pt>
                <c:pt idx="117">
                  <c:v>-0.41976401783987094</c:v>
                </c:pt>
                <c:pt idx="118">
                  <c:v>-0.3738766648302484</c:v>
                </c:pt>
                <c:pt idx="119">
                  <c:v>-0.32705481486975324</c:v>
                </c:pt>
                <c:pt idx="120">
                  <c:v>-0.27941549819893868</c:v>
                </c:pt>
                <c:pt idx="121">
                  <c:v>-0.2310777882994052</c:v>
                </c:pt>
                <c:pt idx="122">
                  <c:v>-0.18216250427210898</c:v>
                </c:pt>
                <c:pt idx="123">
                  <c:v>-0.13279190885253081</c:v>
                </c:pt>
                <c:pt idx="124">
                  <c:v>-8.3089402817510566E-2</c:v>
                </c:pt>
                <c:pt idx="125">
                  <c:v>-3.3179216547571021E-2</c:v>
                </c:pt>
                <c:pt idx="126">
                  <c:v>1.6813900484335505E-2</c:v>
                </c:pt>
              </c:numCache>
            </c:numRef>
          </c:val>
        </c:ser>
        <c:marker val="1"/>
        <c:axId val="210655488"/>
        <c:axId val="210661376"/>
      </c:lineChart>
      <c:catAx>
        <c:axId val="210655488"/>
        <c:scaling>
          <c:orientation val="minMax"/>
        </c:scaling>
        <c:axPos val="b"/>
        <c:tickLblPos val="nextTo"/>
        <c:crossAx val="210661376"/>
        <c:crosses val="autoZero"/>
        <c:auto val="1"/>
        <c:lblAlgn val="ctr"/>
        <c:lblOffset val="100"/>
      </c:catAx>
      <c:valAx>
        <c:axId val="210661376"/>
        <c:scaling>
          <c:orientation val="minMax"/>
        </c:scaling>
        <c:axPos val="l"/>
        <c:majorGridlines/>
        <c:numFmt formatCode="General" sourceLinked="1"/>
        <c:tickLblPos val="nextTo"/>
        <c:crossAx val="21065548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2</xdr:row>
      <xdr:rowOff>28575</xdr:rowOff>
    </xdr:from>
    <xdr:to>
      <xdr:col>10</xdr:col>
      <xdr:colOff>581025</xdr:colOff>
      <xdr:row>18</xdr:row>
      <xdr:rowOff>114300</xdr:rowOff>
    </xdr:to>
    <xdr:graphicFrame macro="">
      <xdr:nvGraphicFramePr>
        <xdr:cNvPr id="102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58</xdr:row>
      <xdr:rowOff>200025</xdr:rowOff>
    </xdr:from>
    <xdr:to>
      <xdr:col>12</xdr:col>
      <xdr:colOff>142875</xdr:colOff>
      <xdr:row>68</xdr:row>
      <xdr:rowOff>66675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28575</xdr:colOff>
      <xdr:row>68</xdr:row>
      <xdr:rowOff>190500</xdr:rowOff>
    </xdr:from>
    <xdr:to>
      <xdr:col>12</xdr:col>
      <xdr:colOff>161925</xdr:colOff>
      <xdr:row>79</xdr:row>
      <xdr:rowOff>180975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0"/>
  <sheetViews>
    <sheetView workbookViewId="0">
      <selection activeCell="G23" sqref="G23"/>
    </sheetView>
  </sheetViews>
  <sheetFormatPr defaultRowHeight="12.75"/>
  <cols>
    <col min="4" max="4" width="9.140625" style="2"/>
  </cols>
  <sheetData>
    <row r="1" spans="1:4">
      <c r="A1" s="1" t="s">
        <v>0</v>
      </c>
    </row>
    <row r="2" spans="1:4">
      <c r="A2" s="4" t="s">
        <v>1</v>
      </c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5" spans="1:4">
      <c r="A5">
        <v>0</v>
      </c>
      <c r="B5">
        <f t="shared" ref="B5:B36" si="0">SIN(A5)</f>
        <v>0</v>
      </c>
      <c r="D5" s="2" t="s">
        <v>6</v>
      </c>
    </row>
    <row r="6" spans="1:4">
      <c r="A6">
        <f>3.14149265358979/4</f>
        <v>0.78537316339744745</v>
      </c>
      <c r="B6">
        <f t="shared" si="0"/>
        <v>0.70708910329604824</v>
      </c>
      <c r="D6" s="2" t="s">
        <v>6</v>
      </c>
    </row>
    <row r="7" spans="1:4">
      <c r="A7">
        <f>3.14149265358979/2</f>
        <v>1.5707463267948949</v>
      </c>
      <c r="B7">
        <f t="shared" si="0"/>
        <v>0.99999999875000001</v>
      </c>
      <c r="D7" s="2" t="s">
        <v>6</v>
      </c>
    </row>
    <row r="8" spans="1:4">
      <c r="A8">
        <f>3*3.14149265358979/4</f>
        <v>2.3561194901923423</v>
      </c>
      <c r="B8">
        <f t="shared" si="0"/>
        <v>0.70715981220635082</v>
      </c>
      <c r="D8" s="2" t="s">
        <v>6</v>
      </c>
    </row>
    <row r="9" spans="1:4">
      <c r="A9">
        <f>3.14159265358979</f>
        <v>3.14159265358979</v>
      </c>
      <c r="B9">
        <f t="shared" si="0"/>
        <v>3.2311393144413003E-15</v>
      </c>
      <c r="D9" s="2" t="s">
        <v>6</v>
      </c>
    </row>
    <row r="10" spans="1:4">
      <c r="A10">
        <f>5*3.14159265358979/4</f>
        <v>3.9269908169872374</v>
      </c>
      <c r="B10">
        <f t="shared" si="0"/>
        <v>-0.70710678118654458</v>
      </c>
      <c r="D10" s="2" t="s">
        <v>6</v>
      </c>
    </row>
    <row r="11" spans="1:4">
      <c r="A11">
        <f>3*3.14159265358979/2</f>
        <v>4.7123889803846852</v>
      </c>
      <c r="B11">
        <f t="shared" si="0"/>
        <v>-1</v>
      </c>
      <c r="D11" s="2" t="s">
        <v>6</v>
      </c>
    </row>
    <row r="12" spans="1:4">
      <c r="A12">
        <f>7*3.14159265358979/4</f>
        <v>5.4977871437821326</v>
      </c>
      <c r="B12">
        <f t="shared" si="0"/>
        <v>-0.70710678118655146</v>
      </c>
      <c r="D12" s="2" t="s">
        <v>6</v>
      </c>
    </row>
    <row r="13" spans="1:4">
      <c r="A13">
        <f>2*3.14159265358979</f>
        <v>6.28318530717958</v>
      </c>
      <c r="B13">
        <f t="shared" si="0"/>
        <v>-6.4622786288826006E-15</v>
      </c>
      <c r="D13" s="2" t="s">
        <v>6</v>
      </c>
    </row>
    <row r="14" spans="1:4">
      <c r="A14">
        <f>0</f>
        <v>0</v>
      </c>
      <c r="B14">
        <f t="shared" si="0"/>
        <v>0</v>
      </c>
      <c r="D14" s="2" t="s">
        <v>7</v>
      </c>
    </row>
    <row r="15" spans="1:4">
      <c r="A15">
        <f t="shared" ref="A15:A46" si="1">A14+0.05</f>
        <v>0.05</v>
      </c>
      <c r="B15">
        <f t="shared" si="0"/>
        <v>4.9979169270678331E-2</v>
      </c>
      <c r="D15" s="2" t="s">
        <v>7</v>
      </c>
    </row>
    <row r="16" spans="1:4">
      <c r="A16">
        <f t="shared" si="1"/>
        <v>0.1</v>
      </c>
      <c r="B16">
        <f t="shared" si="0"/>
        <v>9.9833416646828155E-2</v>
      </c>
      <c r="D16" s="2" t="s">
        <v>7</v>
      </c>
    </row>
    <row r="17" spans="1:4">
      <c r="A17">
        <f t="shared" si="1"/>
        <v>0.15000000000000002</v>
      </c>
      <c r="B17">
        <f t="shared" si="0"/>
        <v>0.14943813247359924</v>
      </c>
      <c r="D17" s="2" t="s">
        <v>7</v>
      </c>
    </row>
    <row r="18" spans="1:4">
      <c r="A18">
        <f t="shared" si="1"/>
        <v>0.2</v>
      </c>
      <c r="B18">
        <f t="shared" si="0"/>
        <v>0.19866933079506122</v>
      </c>
      <c r="D18" s="2" t="s">
        <v>7</v>
      </c>
    </row>
    <row r="19" spans="1:4">
      <c r="A19">
        <f t="shared" si="1"/>
        <v>0.25</v>
      </c>
      <c r="B19">
        <f t="shared" si="0"/>
        <v>0.24740395925452294</v>
      </c>
      <c r="D19" s="2" t="s">
        <v>7</v>
      </c>
    </row>
    <row r="20" spans="1:4">
      <c r="A20">
        <f t="shared" si="1"/>
        <v>0.3</v>
      </c>
      <c r="B20">
        <f t="shared" si="0"/>
        <v>0.29552020666133955</v>
      </c>
      <c r="D20" s="2" t="s">
        <v>7</v>
      </c>
    </row>
    <row r="21" spans="1:4">
      <c r="A21">
        <f t="shared" si="1"/>
        <v>0.35</v>
      </c>
      <c r="B21">
        <f t="shared" si="0"/>
        <v>0.34289780745545134</v>
      </c>
      <c r="D21" s="2" t="s">
        <v>7</v>
      </c>
    </row>
    <row r="22" spans="1:4">
      <c r="A22">
        <f t="shared" si="1"/>
        <v>0.39999999999999997</v>
      </c>
      <c r="B22">
        <f t="shared" si="0"/>
        <v>0.38941834230865047</v>
      </c>
      <c r="D22" s="2" t="s">
        <v>7</v>
      </c>
    </row>
    <row r="23" spans="1:4">
      <c r="A23">
        <f t="shared" si="1"/>
        <v>0.44999999999999996</v>
      </c>
      <c r="B23">
        <f t="shared" si="0"/>
        <v>0.43496553411123018</v>
      </c>
      <c r="D23" s="2" t="s">
        <v>7</v>
      </c>
    </row>
    <row r="24" spans="1:4">
      <c r="A24">
        <f t="shared" si="1"/>
        <v>0.49999999999999994</v>
      </c>
      <c r="B24">
        <f t="shared" si="0"/>
        <v>0.47942553860420295</v>
      </c>
      <c r="D24" s="2" t="s">
        <v>7</v>
      </c>
    </row>
    <row r="25" spans="1:4">
      <c r="A25">
        <f t="shared" si="1"/>
        <v>0.54999999999999993</v>
      </c>
      <c r="B25">
        <f t="shared" si="0"/>
        <v>0.52268722893065911</v>
      </c>
      <c r="D25" s="2" t="s">
        <v>7</v>
      </c>
    </row>
    <row r="26" spans="1:4">
      <c r="A26">
        <f t="shared" si="1"/>
        <v>0.6</v>
      </c>
      <c r="B26">
        <f t="shared" si="0"/>
        <v>0.56464247339503537</v>
      </c>
      <c r="D26" s="2" t="s">
        <v>7</v>
      </c>
    </row>
    <row r="27" spans="1:4">
      <c r="A27">
        <f t="shared" si="1"/>
        <v>0.65</v>
      </c>
      <c r="B27">
        <f t="shared" si="0"/>
        <v>0.60518640573603955</v>
      </c>
      <c r="D27" s="2" t="s">
        <v>7</v>
      </c>
    </row>
    <row r="28" spans="1:4">
      <c r="A28">
        <f t="shared" si="1"/>
        <v>0.70000000000000007</v>
      </c>
      <c r="B28">
        <f t="shared" si="0"/>
        <v>0.64421768723769113</v>
      </c>
      <c r="D28" s="2" t="s">
        <v>7</v>
      </c>
    </row>
    <row r="29" spans="1:4">
      <c r="A29">
        <f t="shared" si="1"/>
        <v>0.75000000000000011</v>
      </c>
      <c r="B29">
        <f t="shared" si="0"/>
        <v>0.68163876002333423</v>
      </c>
      <c r="D29" s="2" t="s">
        <v>7</v>
      </c>
    </row>
    <row r="30" spans="1:4">
      <c r="A30">
        <f t="shared" si="1"/>
        <v>0.80000000000000016</v>
      </c>
      <c r="B30">
        <f t="shared" si="0"/>
        <v>0.7173560908995229</v>
      </c>
      <c r="D30" s="2" t="s">
        <v>7</v>
      </c>
    </row>
    <row r="31" spans="1:4">
      <c r="A31">
        <f t="shared" si="1"/>
        <v>0.8500000000000002</v>
      </c>
      <c r="B31">
        <f t="shared" si="0"/>
        <v>0.75128040514029282</v>
      </c>
      <c r="D31" s="2" t="s">
        <v>7</v>
      </c>
    </row>
    <row r="32" spans="1:4">
      <c r="A32">
        <f t="shared" si="1"/>
        <v>0.90000000000000024</v>
      </c>
      <c r="B32">
        <f t="shared" si="0"/>
        <v>0.78332690962748353</v>
      </c>
      <c r="D32" s="2" t="s">
        <v>7</v>
      </c>
    </row>
    <row r="33" spans="1:4">
      <c r="A33">
        <f t="shared" si="1"/>
        <v>0.95000000000000029</v>
      </c>
      <c r="B33">
        <f t="shared" si="0"/>
        <v>0.81341550478937397</v>
      </c>
      <c r="D33" s="2" t="s">
        <v>7</v>
      </c>
    </row>
    <row r="34" spans="1:4">
      <c r="A34">
        <f t="shared" si="1"/>
        <v>1.0000000000000002</v>
      </c>
      <c r="B34">
        <f t="shared" si="0"/>
        <v>0.84147098480789662</v>
      </c>
      <c r="D34" s="2" t="s">
        <v>7</v>
      </c>
    </row>
    <row r="35" spans="1:4">
      <c r="A35">
        <f t="shared" si="1"/>
        <v>1.0500000000000003</v>
      </c>
      <c r="B35">
        <f t="shared" si="0"/>
        <v>0.86742322559401708</v>
      </c>
      <c r="D35" s="2" t="s">
        <v>7</v>
      </c>
    </row>
    <row r="36" spans="1:4">
      <c r="A36">
        <f t="shared" si="1"/>
        <v>1.1000000000000003</v>
      </c>
      <c r="B36">
        <f t="shared" si="0"/>
        <v>0.89120736006143553</v>
      </c>
      <c r="D36" s="2" t="s">
        <v>7</v>
      </c>
    </row>
    <row r="37" spans="1:4">
      <c r="A37">
        <f t="shared" si="1"/>
        <v>1.1500000000000004</v>
      </c>
      <c r="B37">
        <f t="shared" ref="B37:B68" si="2">SIN(A37)</f>
        <v>0.91276394026052121</v>
      </c>
      <c r="D37" s="2" t="s">
        <v>7</v>
      </c>
    </row>
    <row r="38" spans="1:4">
      <c r="A38">
        <f t="shared" si="1"/>
        <v>1.2000000000000004</v>
      </c>
      <c r="B38">
        <f t="shared" si="2"/>
        <v>0.93203908596722651</v>
      </c>
      <c r="D38" s="2" t="s">
        <v>7</v>
      </c>
    </row>
    <row r="39" spans="1:4">
      <c r="A39">
        <f t="shared" si="1"/>
        <v>1.2500000000000004</v>
      </c>
      <c r="B39">
        <f t="shared" si="2"/>
        <v>0.94898461935558631</v>
      </c>
      <c r="D39" s="2" t="s">
        <v>7</v>
      </c>
    </row>
    <row r="40" spans="1:4">
      <c r="A40">
        <f t="shared" si="1"/>
        <v>1.3000000000000005</v>
      </c>
      <c r="B40">
        <f t="shared" si="2"/>
        <v>0.96355818541719307</v>
      </c>
      <c r="D40" s="2" t="s">
        <v>7</v>
      </c>
    </row>
    <row r="41" spans="1:4">
      <c r="A41">
        <f t="shared" si="1"/>
        <v>1.3500000000000005</v>
      </c>
      <c r="B41">
        <f t="shared" si="2"/>
        <v>0.9757233578266592</v>
      </c>
      <c r="D41" s="2" t="s">
        <v>7</v>
      </c>
    </row>
    <row r="42" spans="1:4">
      <c r="A42">
        <f t="shared" si="1"/>
        <v>1.4000000000000006</v>
      </c>
      <c r="B42">
        <f t="shared" si="2"/>
        <v>0.98544972998846025</v>
      </c>
      <c r="D42" s="2" t="s">
        <v>7</v>
      </c>
    </row>
    <row r="43" spans="1:4">
      <c r="A43">
        <f t="shared" si="1"/>
        <v>1.4500000000000006</v>
      </c>
      <c r="B43">
        <f t="shared" si="2"/>
        <v>0.99271299103758859</v>
      </c>
      <c r="D43" s="2" t="s">
        <v>7</v>
      </c>
    </row>
    <row r="44" spans="1:4">
      <c r="A44">
        <f t="shared" si="1"/>
        <v>1.5000000000000007</v>
      </c>
      <c r="B44">
        <f t="shared" si="2"/>
        <v>0.99749498660405445</v>
      </c>
      <c r="D44" s="2" t="s">
        <v>7</v>
      </c>
    </row>
    <row r="45" spans="1:4">
      <c r="A45">
        <f t="shared" si="1"/>
        <v>1.5500000000000007</v>
      </c>
      <c r="B45">
        <f t="shared" si="2"/>
        <v>0.99978376418935699</v>
      </c>
      <c r="D45" s="2" t="s">
        <v>7</v>
      </c>
    </row>
    <row r="46" spans="1:4">
      <c r="A46">
        <f t="shared" si="1"/>
        <v>1.6000000000000008</v>
      </c>
      <c r="B46">
        <f t="shared" si="2"/>
        <v>0.99957360304150511</v>
      </c>
      <c r="D46" s="2" t="s">
        <v>7</v>
      </c>
    </row>
    <row r="47" spans="1:4">
      <c r="A47">
        <f t="shared" ref="A47:A78" si="3">A46+0.05</f>
        <v>1.6500000000000008</v>
      </c>
      <c r="B47">
        <f t="shared" si="2"/>
        <v>0.99686502845391878</v>
      </c>
      <c r="D47" s="2" t="s">
        <v>7</v>
      </c>
    </row>
    <row r="48" spans="1:4">
      <c r="A48">
        <f t="shared" si="3"/>
        <v>1.7000000000000008</v>
      </c>
      <c r="B48">
        <f t="shared" si="2"/>
        <v>0.99166481045246846</v>
      </c>
      <c r="D48" s="2" t="s">
        <v>7</v>
      </c>
    </row>
    <row r="49" spans="1:4">
      <c r="A49">
        <f t="shared" si="3"/>
        <v>1.7500000000000009</v>
      </c>
      <c r="B49">
        <f t="shared" si="2"/>
        <v>0.9839859468739367</v>
      </c>
      <c r="D49" s="2" t="s">
        <v>7</v>
      </c>
    </row>
    <row r="50" spans="1:4">
      <c r="A50">
        <f t="shared" si="3"/>
        <v>1.8000000000000009</v>
      </c>
      <c r="B50">
        <f t="shared" si="2"/>
        <v>0.97384763087819493</v>
      </c>
      <c r="D50" s="2" t="s">
        <v>7</v>
      </c>
    </row>
    <row r="51" spans="1:4">
      <c r="A51">
        <f t="shared" si="3"/>
        <v>1.850000000000001</v>
      </c>
      <c r="B51">
        <f t="shared" si="2"/>
        <v>0.96127520297529967</v>
      </c>
      <c r="D51" s="2" t="s">
        <v>7</v>
      </c>
    </row>
    <row r="52" spans="1:4">
      <c r="A52">
        <f t="shared" si="3"/>
        <v>1.900000000000001</v>
      </c>
      <c r="B52">
        <f t="shared" si="2"/>
        <v>0.94630008768741414</v>
      </c>
      <c r="D52" s="2" t="s">
        <v>7</v>
      </c>
    </row>
    <row r="53" spans="1:4">
      <c r="A53">
        <f t="shared" si="3"/>
        <v>1.9500000000000011</v>
      </c>
      <c r="B53">
        <f t="shared" si="2"/>
        <v>0.92895971500386887</v>
      </c>
      <c r="D53" s="2" t="s">
        <v>7</v>
      </c>
    </row>
    <row r="54" spans="1:4">
      <c r="A54">
        <f t="shared" si="3"/>
        <v>2.0000000000000009</v>
      </c>
      <c r="B54">
        <f t="shared" si="2"/>
        <v>0.90929742682568138</v>
      </c>
      <c r="D54" s="2" t="s">
        <v>7</v>
      </c>
    </row>
    <row r="55" spans="1:4">
      <c r="A55">
        <f t="shared" si="3"/>
        <v>2.0500000000000007</v>
      </c>
      <c r="B55">
        <f t="shared" si="2"/>
        <v>0.88736236863337514</v>
      </c>
      <c r="D55" s="2" t="s">
        <v>7</v>
      </c>
    </row>
    <row r="56" spans="1:4">
      <c r="A56">
        <f t="shared" si="3"/>
        <v>2.1000000000000005</v>
      </c>
      <c r="B56">
        <f t="shared" si="2"/>
        <v>0.86320936664887349</v>
      </c>
      <c r="D56" s="2" t="s">
        <v>7</v>
      </c>
    </row>
    <row r="57" spans="1:4">
      <c r="A57">
        <f t="shared" si="3"/>
        <v>2.1500000000000004</v>
      </c>
      <c r="B57">
        <f t="shared" si="2"/>
        <v>0.83689879079849749</v>
      </c>
      <c r="D57" s="2" t="s">
        <v>7</v>
      </c>
    </row>
    <row r="58" spans="1:4">
      <c r="A58">
        <f t="shared" si="3"/>
        <v>2.2000000000000002</v>
      </c>
      <c r="B58">
        <f t="shared" si="2"/>
        <v>0.80849640381959009</v>
      </c>
      <c r="D58" s="2" t="s">
        <v>7</v>
      </c>
    </row>
    <row r="59" spans="1:4">
      <c r="A59">
        <f t="shared" si="3"/>
        <v>2.25</v>
      </c>
      <c r="B59">
        <f t="shared" si="2"/>
        <v>0.7780731968879212</v>
      </c>
      <c r="D59" s="2" t="s">
        <v>7</v>
      </c>
    </row>
    <row r="60" spans="1:4">
      <c r="A60">
        <f t="shared" si="3"/>
        <v>2.2999999999999998</v>
      </c>
      <c r="B60">
        <f t="shared" si="2"/>
        <v>0.74570521217672026</v>
      </c>
      <c r="D60" s="2" t="s">
        <v>7</v>
      </c>
    </row>
    <row r="61" spans="1:4">
      <c r="A61">
        <f t="shared" si="3"/>
        <v>2.3499999999999996</v>
      </c>
      <c r="B61">
        <f t="shared" si="2"/>
        <v>0.71147335279084467</v>
      </c>
      <c r="D61" s="2" t="s">
        <v>7</v>
      </c>
    </row>
    <row r="62" spans="1:4">
      <c r="A62">
        <f t="shared" si="3"/>
        <v>2.3999999999999995</v>
      </c>
      <c r="B62">
        <f t="shared" si="2"/>
        <v>0.67546318055115129</v>
      </c>
      <c r="D62" s="2" t="s">
        <v>7</v>
      </c>
    </row>
    <row r="63" spans="1:4">
      <c r="A63">
        <f t="shared" si="3"/>
        <v>2.4499999999999993</v>
      </c>
      <c r="B63">
        <f t="shared" si="2"/>
        <v>0.63776470213450431</v>
      </c>
      <c r="D63" s="2" t="s">
        <v>7</v>
      </c>
    </row>
    <row r="64" spans="1:4">
      <c r="A64">
        <f t="shared" si="3"/>
        <v>2.4999999999999991</v>
      </c>
      <c r="B64">
        <f t="shared" si="2"/>
        <v>0.59847214410395722</v>
      </c>
      <c r="D64" s="2" t="s">
        <v>7</v>
      </c>
    </row>
    <row r="65" spans="1:4">
      <c r="A65">
        <f t="shared" si="3"/>
        <v>2.5499999999999989</v>
      </c>
      <c r="B65">
        <f t="shared" si="2"/>
        <v>0.55768371739141775</v>
      </c>
      <c r="D65" s="2" t="s">
        <v>7</v>
      </c>
    </row>
    <row r="66" spans="1:4">
      <c r="A66">
        <f t="shared" si="3"/>
        <v>2.5999999999999988</v>
      </c>
      <c r="B66">
        <f t="shared" si="2"/>
        <v>0.51550137182146527</v>
      </c>
      <c r="D66" s="2" t="s">
        <v>7</v>
      </c>
    </row>
    <row r="67" spans="1:4">
      <c r="A67">
        <f t="shared" si="3"/>
        <v>2.6499999999999986</v>
      </c>
      <c r="B67">
        <f t="shared" si="2"/>
        <v>0.47203054128988381</v>
      </c>
      <c r="D67" s="2" t="s">
        <v>7</v>
      </c>
    </row>
    <row r="68" spans="1:4">
      <c r="A68">
        <f t="shared" si="3"/>
        <v>2.6999999999999984</v>
      </c>
      <c r="B68">
        <f t="shared" si="2"/>
        <v>0.42737988023383139</v>
      </c>
      <c r="D68" s="2" t="s">
        <v>7</v>
      </c>
    </row>
    <row r="69" spans="1:4">
      <c r="A69">
        <f t="shared" si="3"/>
        <v>2.7499999999999982</v>
      </c>
      <c r="B69">
        <f t="shared" ref="B69:B100" si="4">SIN(A69)</f>
        <v>0.38166099205233334</v>
      </c>
      <c r="D69" s="2" t="s">
        <v>7</v>
      </c>
    </row>
    <row r="70" spans="1:4">
      <c r="A70">
        <f t="shared" si="3"/>
        <v>2.799999999999998</v>
      </c>
      <c r="B70">
        <f t="shared" si="4"/>
        <v>0.33498815015590677</v>
      </c>
      <c r="D70" s="2" t="s">
        <v>7</v>
      </c>
    </row>
    <row r="71" spans="1:4">
      <c r="A71">
        <f t="shared" si="3"/>
        <v>2.8499999999999979</v>
      </c>
      <c r="B71">
        <f t="shared" si="4"/>
        <v>0.28747801234254655</v>
      </c>
      <c r="D71" s="2" t="s">
        <v>7</v>
      </c>
    </row>
    <row r="72" spans="1:4">
      <c r="A72">
        <f t="shared" si="3"/>
        <v>2.8999999999999977</v>
      </c>
      <c r="B72">
        <f t="shared" si="4"/>
        <v>0.23924932921398456</v>
      </c>
      <c r="D72" s="2" t="s">
        <v>7</v>
      </c>
    </row>
    <row r="73" spans="1:4">
      <c r="A73">
        <f t="shared" si="3"/>
        <v>2.9499999999999975</v>
      </c>
      <c r="B73">
        <f t="shared" si="4"/>
        <v>0.19042264736102968</v>
      </c>
      <c r="D73" s="2" t="s">
        <v>7</v>
      </c>
    </row>
    <row r="74" spans="1:4">
      <c r="A74">
        <f t="shared" si="3"/>
        <v>2.9999999999999973</v>
      </c>
      <c r="B74">
        <f t="shared" si="4"/>
        <v>0.14112000805986985</v>
      </c>
      <c r="D74" s="2" t="s">
        <v>7</v>
      </c>
    </row>
    <row r="75" spans="1:4">
      <c r="A75">
        <f t="shared" si="3"/>
        <v>3.0499999999999972</v>
      </c>
      <c r="B75">
        <f t="shared" si="4"/>
        <v>9.1464642232439844E-2</v>
      </c>
      <c r="D75" s="2" t="s">
        <v>7</v>
      </c>
    </row>
    <row r="76" spans="1:4">
      <c r="A76">
        <f t="shared" si="3"/>
        <v>3.099999999999997</v>
      </c>
      <c r="B76">
        <f t="shared" si="4"/>
        <v>4.15806624332936E-2</v>
      </c>
      <c r="D76" s="2" t="s">
        <v>7</v>
      </c>
    </row>
    <row r="77" spans="1:4">
      <c r="A77">
        <f t="shared" si="3"/>
        <v>3.1499999999999968</v>
      </c>
      <c r="B77">
        <f t="shared" si="4"/>
        <v>-8.4072473671455098E-3</v>
      </c>
      <c r="D77" s="2" t="s">
        <v>7</v>
      </c>
    </row>
    <row r="78" spans="1:4">
      <c r="A78">
        <f t="shared" si="3"/>
        <v>3.1999999999999966</v>
      </c>
      <c r="B78">
        <f t="shared" si="4"/>
        <v>-5.837414342757654E-2</v>
      </c>
      <c r="D78" s="2" t="s">
        <v>7</v>
      </c>
    </row>
    <row r="79" spans="1:4">
      <c r="A79">
        <f t="shared" ref="A79:A110" si="5">A78+0.05</f>
        <v>3.2499999999999964</v>
      </c>
      <c r="B79">
        <f t="shared" si="4"/>
        <v>-0.10819513453010485</v>
      </c>
      <c r="D79" s="2" t="s">
        <v>7</v>
      </c>
    </row>
    <row r="80" spans="1:4">
      <c r="A80">
        <f t="shared" si="5"/>
        <v>3.2999999999999963</v>
      </c>
      <c r="B80">
        <f t="shared" si="4"/>
        <v>-0.15774569414324469</v>
      </c>
      <c r="D80" s="2" t="s">
        <v>7</v>
      </c>
    </row>
    <row r="81" spans="1:4">
      <c r="A81">
        <f t="shared" si="5"/>
        <v>3.3499999999999961</v>
      </c>
      <c r="B81">
        <f t="shared" si="4"/>
        <v>-0.20690197167339586</v>
      </c>
      <c r="D81" s="2" t="s">
        <v>7</v>
      </c>
    </row>
    <row r="82" spans="1:4">
      <c r="A82">
        <f t="shared" si="5"/>
        <v>3.3999999999999959</v>
      </c>
      <c r="B82">
        <f t="shared" si="4"/>
        <v>-0.25554110202682739</v>
      </c>
      <c r="D82" s="2" t="s">
        <v>7</v>
      </c>
    </row>
    <row r="83" spans="1:4">
      <c r="A83">
        <f t="shared" si="5"/>
        <v>3.4499999999999957</v>
      </c>
      <c r="B83">
        <f t="shared" si="4"/>
        <v>-0.30354151270842511</v>
      </c>
      <c r="D83" s="2" t="s">
        <v>7</v>
      </c>
    </row>
    <row r="84" spans="1:4">
      <c r="A84">
        <f t="shared" si="5"/>
        <v>3.4999999999999956</v>
      </c>
      <c r="B84">
        <f t="shared" si="4"/>
        <v>-0.35078322768961567</v>
      </c>
      <c r="D84" s="2" t="s">
        <v>7</v>
      </c>
    </row>
    <row r="85" spans="1:4">
      <c r="A85">
        <f t="shared" si="5"/>
        <v>3.5499999999999954</v>
      </c>
      <c r="B85">
        <f t="shared" si="4"/>
        <v>-0.3971481672859557</v>
      </c>
      <c r="D85" s="2" t="s">
        <v>7</v>
      </c>
    </row>
    <row r="86" spans="1:4">
      <c r="A86">
        <f t="shared" si="5"/>
        <v>3.5999999999999952</v>
      </c>
      <c r="B86">
        <f t="shared" si="4"/>
        <v>-0.44252044329484808</v>
      </c>
      <c r="D86" s="2" t="s">
        <v>7</v>
      </c>
    </row>
    <row r="87" spans="1:4">
      <c r="A87">
        <f t="shared" si="5"/>
        <v>3.649999999999995</v>
      </c>
      <c r="B87">
        <f t="shared" si="4"/>
        <v>-0.48678664865569515</v>
      </c>
      <c r="D87" s="2" t="s">
        <v>7</v>
      </c>
    </row>
    <row r="88" spans="1:4">
      <c r="A88">
        <f t="shared" si="5"/>
        <v>3.6999999999999948</v>
      </c>
      <c r="B88">
        <f t="shared" si="4"/>
        <v>-0.52983614090848885</v>
      </c>
      <c r="D88" s="2" t="s">
        <v>7</v>
      </c>
    </row>
    <row r="89" spans="1:4">
      <c r="A89">
        <f t="shared" si="5"/>
        <v>3.7499999999999947</v>
      </c>
      <c r="B89">
        <f t="shared" si="4"/>
        <v>-0.5715613187423394</v>
      </c>
      <c r="D89" s="2" t="s">
        <v>7</v>
      </c>
    </row>
    <row r="90" spans="1:4">
      <c r="A90">
        <f t="shared" si="5"/>
        <v>3.7999999999999945</v>
      </c>
      <c r="B90">
        <f t="shared" si="4"/>
        <v>-0.6118578909427147</v>
      </c>
      <c r="D90" s="2" t="s">
        <v>7</v>
      </c>
    </row>
    <row r="91" spans="1:4">
      <c r="A91">
        <f t="shared" si="5"/>
        <v>3.8499999999999943</v>
      </c>
      <c r="B91">
        <f t="shared" si="4"/>
        <v>-0.65062513706516301</v>
      </c>
      <c r="D91" s="2" t="s">
        <v>7</v>
      </c>
    </row>
    <row r="92" spans="1:4">
      <c r="A92">
        <f t="shared" si="5"/>
        <v>3.8999999999999941</v>
      </c>
      <c r="B92">
        <f t="shared" si="4"/>
        <v>-0.68776615918396955</v>
      </c>
      <c r="D92" s="2" t="s">
        <v>7</v>
      </c>
    </row>
    <row r="93" spans="1:4">
      <c r="A93">
        <f t="shared" si="5"/>
        <v>3.949999999999994</v>
      </c>
      <c r="B93">
        <f t="shared" si="4"/>
        <v>-0.72318812408650779</v>
      </c>
      <c r="D93" s="2" t="s">
        <v>7</v>
      </c>
    </row>
    <row r="94" spans="1:4">
      <c r="A94">
        <f t="shared" si="5"/>
        <v>3.9999999999999938</v>
      </c>
      <c r="B94">
        <f t="shared" si="4"/>
        <v>-0.75680249530792421</v>
      </c>
      <c r="D94" s="2" t="s">
        <v>7</v>
      </c>
    </row>
    <row r="95" spans="1:4">
      <c r="A95">
        <f t="shared" si="5"/>
        <v>4.0499999999999936</v>
      </c>
      <c r="B95">
        <f t="shared" si="4"/>
        <v>-0.78852525442619115</v>
      </c>
      <c r="D95" s="2" t="s">
        <v>7</v>
      </c>
    </row>
    <row r="96" spans="1:4">
      <c r="A96">
        <f t="shared" si="5"/>
        <v>4.0999999999999934</v>
      </c>
      <c r="B96">
        <f t="shared" si="4"/>
        <v>-0.8182771110644067</v>
      </c>
      <c r="D96" s="2" t="s">
        <v>7</v>
      </c>
    </row>
    <row r="97" spans="1:4">
      <c r="A97">
        <f t="shared" si="5"/>
        <v>4.1499999999999932</v>
      </c>
      <c r="B97">
        <f t="shared" si="4"/>
        <v>-0.84598370107544274</v>
      </c>
      <c r="D97" s="2" t="s">
        <v>7</v>
      </c>
    </row>
    <row r="98" spans="1:4">
      <c r="A98">
        <f t="shared" si="5"/>
        <v>4.1999999999999931</v>
      </c>
      <c r="B98">
        <f t="shared" si="4"/>
        <v>-0.87157577241358464</v>
      </c>
      <c r="D98" s="2" t="s">
        <v>7</v>
      </c>
    </row>
    <row r="99" spans="1:4">
      <c r="A99">
        <f t="shared" si="5"/>
        <v>4.2499999999999929</v>
      </c>
      <c r="B99">
        <f t="shared" si="4"/>
        <v>-0.89498935822858039</v>
      </c>
      <c r="D99" s="2" t="s">
        <v>7</v>
      </c>
    </row>
    <row r="100" spans="1:4">
      <c r="A100">
        <f t="shared" si="5"/>
        <v>4.2999999999999927</v>
      </c>
      <c r="B100">
        <f t="shared" si="4"/>
        <v>-0.91616593674945201</v>
      </c>
      <c r="D100" s="2" t="s">
        <v>7</v>
      </c>
    </row>
    <row r="101" spans="1:4">
      <c r="A101">
        <f t="shared" si="5"/>
        <v>4.3499999999999925</v>
      </c>
      <c r="B101">
        <f t="shared" ref="B101:B132" si="6">SIN(A101)</f>
        <v>-0.93505257755844651</v>
      </c>
      <c r="D101" s="2" t="s">
        <v>7</v>
      </c>
    </row>
    <row r="102" spans="1:4">
      <c r="A102">
        <f t="shared" si="5"/>
        <v>4.3999999999999924</v>
      </c>
      <c r="B102">
        <f t="shared" si="6"/>
        <v>-0.95160207388951357</v>
      </c>
      <c r="D102" s="2" t="s">
        <v>7</v>
      </c>
    </row>
    <row r="103" spans="1:4">
      <c r="A103">
        <f t="shared" si="5"/>
        <v>4.4499999999999922</v>
      </c>
      <c r="B103">
        <f t="shared" si="6"/>
        <v>-0.96577306062063673</v>
      </c>
      <c r="D103" s="2" t="s">
        <v>7</v>
      </c>
    </row>
    <row r="104" spans="1:4">
      <c r="A104">
        <f t="shared" si="5"/>
        <v>4.499999999999992</v>
      </c>
      <c r="B104">
        <f t="shared" si="6"/>
        <v>-0.97753011766509534</v>
      </c>
      <c r="D104" s="2" t="s">
        <v>7</v>
      </c>
    </row>
    <row r="105" spans="1:4">
      <c r="A105">
        <f t="shared" si="5"/>
        <v>4.5499999999999918</v>
      </c>
      <c r="B105">
        <f t="shared" si="6"/>
        <v>-0.9868438585032353</v>
      </c>
      <c r="D105" s="2" t="s">
        <v>7</v>
      </c>
    </row>
    <row r="106" spans="1:4">
      <c r="A106">
        <f t="shared" si="5"/>
        <v>4.5999999999999917</v>
      </c>
      <c r="B106">
        <f t="shared" si="6"/>
        <v>-0.99369100363346352</v>
      </c>
      <c r="D106" s="2" t="s">
        <v>7</v>
      </c>
    </row>
    <row r="107" spans="1:4">
      <c r="A107">
        <f t="shared" si="5"/>
        <v>4.6499999999999915</v>
      </c>
      <c r="B107">
        <f t="shared" si="6"/>
        <v>-0.99805443875887889</v>
      </c>
      <c r="D107" s="2" t="s">
        <v>7</v>
      </c>
    </row>
    <row r="108" spans="1:4">
      <c r="A108">
        <f t="shared" si="5"/>
        <v>4.6999999999999913</v>
      </c>
      <c r="B108">
        <f t="shared" si="6"/>
        <v>-0.99992325756410083</v>
      </c>
      <c r="D108" s="2" t="s">
        <v>7</v>
      </c>
    </row>
    <row r="109" spans="1:4">
      <c r="A109">
        <f t="shared" si="5"/>
        <v>4.7499999999999911</v>
      </c>
      <c r="B109">
        <f t="shared" si="6"/>
        <v>-0.99929278897537832</v>
      </c>
      <c r="D109" s="2" t="s">
        <v>7</v>
      </c>
    </row>
    <row r="110" spans="1:4">
      <c r="A110">
        <f t="shared" si="5"/>
        <v>4.7999999999999909</v>
      </c>
      <c r="B110">
        <f t="shared" si="6"/>
        <v>-0.99616460883584146</v>
      </c>
      <c r="D110" s="2" t="s">
        <v>7</v>
      </c>
    </row>
    <row r="111" spans="1:4">
      <c r="A111">
        <f t="shared" ref="A111:A140" si="7">A110+0.05</f>
        <v>4.8499999999999908</v>
      </c>
      <c r="B111">
        <f t="shared" si="6"/>
        <v>-0.99054653596671449</v>
      </c>
      <c r="D111" s="2" t="s">
        <v>7</v>
      </c>
    </row>
    <row r="112" spans="1:4">
      <c r="A112">
        <f t="shared" si="7"/>
        <v>4.8999999999999906</v>
      </c>
      <c r="B112">
        <f t="shared" si="6"/>
        <v>-0.98245261262433425</v>
      </c>
      <c r="D112" s="2" t="s">
        <v>7</v>
      </c>
    </row>
    <row r="113" spans="1:4">
      <c r="A113">
        <f t="shared" si="7"/>
        <v>4.9499999999999904</v>
      </c>
      <c r="B113">
        <f t="shared" si="6"/>
        <v>-0.97190306940182303</v>
      </c>
      <c r="D113" s="2" t="s">
        <v>7</v>
      </c>
    </row>
    <row r="114" spans="1:4">
      <c r="A114">
        <f t="shared" si="7"/>
        <v>4.9999999999999902</v>
      </c>
      <c r="B114">
        <f t="shared" si="6"/>
        <v>-0.95892427466314123</v>
      </c>
      <c r="D114" s="2" t="s">
        <v>7</v>
      </c>
    </row>
    <row r="115" spans="1:4">
      <c r="A115">
        <f t="shared" si="7"/>
        <v>5.0499999999999901</v>
      </c>
      <c r="B115">
        <f t="shared" si="6"/>
        <v>-0.9435486686359098</v>
      </c>
      <c r="D115" s="2" t="s">
        <v>7</v>
      </c>
    </row>
    <row r="116" spans="1:4">
      <c r="A116">
        <f t="shared" si="7"/>
        <v>5.0999999999999899</v>
      </c>
      <c r="B116">
        <f t="shared" si="6"/>
        <v>-0.92581468232773612</v>
      </c>
      <c r="D116" s="2" t="s">
        <v>7</v>
      </c>
    </row>
    <row r="117" spans="1:4">
      <c r="A117">
        <f t="shared" si="7"/>
        <v>5.1499999999999897</v>
      </c>
      <c r="B117">
        <f t="shared" si="6"/>
        <v>-0.905766641468709</v>
      </c>
      <c r="D117" s="2" t="s">
        <v>7</v>
      </c>
    </row>
    <row r="118" spans="1:4">
      <c r="A118">
        <f t="shared" si="7"/>
        <v>5.1999999999999895</v>
      </c>
      <c r="B118">
        <f t="shared" si="6"/>
        <v>-0.88345465572015813</v>
      </c>
      <c r="D118" s="2" t="s">
        <v>7</v>
      </c>
    </row>
    <row r="119" spans="1:4">
      <c r="A119">
        <f t="shared" si="7"/>
        <v>5.2499999999999893</v>
      </c>
      <c r="B119">
        <f t="shared" si="6"/>
        <v>-0.85893449342659745</v>
      </c>
      <c r="D119" s="2" t="s">
        <v>7</v>
      </c>
    </row>
    <row r="120" spans="1:4">
      <c r="A120">
        <f t="shared" si="7"/>
        <v>5.2999999999999892</v>
      </c>
      <c r="B120">
        <f t="shared" si="6"/>
        <v>-0.83226744222390714</v>
      </c>
      <c r="D120" s="2" t="s">
        <v>7</v>
      </c>
    </row>
    <row r="121" spans="1:4">
      <c r="A121">
        <f t="shared" si="7"/>
        <v>5.349999999999989</v>
      </c>
      <c r="B121">
        <f t="shared" si="6"/>
        <v>-0.80352015585216219</v>
      </c>
      <c r="D121" s="2" t="s">
        <v>7</v>
      </c>
    </row>
    <row r="122" spans="1:4">
      <c r="A122">
        <f t="shared" si="7"/>
        <v>5.3999999999999888</v>
      </c>
      <c r="B122">
        <f t="shared" si="6"/>
        <v>-0.77276448755599447</v>
      </c>
      <c r="D122" s="2" t="s">
        <v>7</v>
      </c>
    </row>
    <row r="123" spans="1:4">
      <c r="A123">
        <f t="shared" si="7"/>
        <v>5.4499999999999886</v>
      </c>
      <c r="B123">
        <f t="shared" si="6"/>
        <v>-0.74007731048890213</v>
      </c>
      <c r="D123" s="2" t="s">
        <v>7</v>
      </c>
    </row>
    <row r="124" spans="1:4">
      <c r="A124">
        <f t="shared" si="7"/>
        <v>5.4999999999999885</v>
      </c>
      <c r="B124">
        <f t="shared" si="6"/>
        <v>-0.70554032557040014</v>
      </c>
      <c r="D124" s="2" t="s">
        <v>7</v>
      </c>
    </row>
    <row r="125" spans="1:4">
      <c r="A125">
        <f t="shared" si="7"/>
        <v>5.5499999999999883</v>
      </c>
      <c r="B125">
        <f t="shared" si="6"/>
        <v>-0.66923985727627056</v>
      </c>
      <c r="D125" s="2" t="s">
        <v>7</v>
      </c>
    </row>
    <row r="126" spans="1:4">
      <c r="A126">
        <f t="shared" si="7"/>
        <v>5.5999999999999881</v>
      </c>
      <c r="B126">
        <f t="shared" si="6"/>
        <v>-0.6312666378723305</v>
      </c>
      <c r="D126" s="2" t="s">
        <v>7</v>
      </c>
    </row>
    <row r="127" spans="1:4">
      <c r="A127">
        <f t="shared" si="7"/>
        <v>5.6499999999999879</v>
      </c>
      <c r="B127">
        <f t="shared" si="6"/>
        <v>-0.59171558063101937</v>
      </c>
      <c r="D127" s="2" t="s">
        <v>7</v>
      </c>
    </row>
    <row r="128" spans="1:4">
      <c r="A128">
        <f t="shared" si="7"/>
        <v>5.6999999999999877</v>
      </c>
      <c r="B128">
        <f t="shared" si="6"/>
        <v>-0.55068554259764801</v>
      </c>
      <c r="D128" s="2" t="s">
        <v>7</v>
      </c>
    </row>
    <row r="129" spans="1:4">
      <c r="A129">
        <f t="shared" si="7"/>
        <v>5.7499999999999876</v>
      </c>
      <c r="B129">
        <f t="shared" si="6"/>
        <v>-0.50827907749926904</v>
      </c>
      <c r="D129" s="2" t="s">
        <v>7</v>
      </c>
    </row>
    <row r="130" spans="1:4">
      <c r="A130">
        <f t="shared" si="7"/>
        <v>5.7999999999999874</v>
      </c>
      <c r="B130">
        <f t="shared" si="6"/>
        <v>-0.46460217941376836</v>
      </c>
      <c r="D130" s="2" t="s">
        <v>7</v>
      </c>
    </row>
    <row r="131" spans="1:4">
      <c r="A131">
        <f t="shared" si="7"/>
        <v>5.8499999999999872</v>
      </c>
      <c r="B131">
        <f t="shared" si="6"/>
        <v>-0.41976401783987094</v>
      </c>
      <c r="D131" s="2" t="s">
        <v>7</v>
      </c>
    </row>
    <row r="132" spans="1:4">
      <c r="A132">
        <f t="shared" si="7"/>
        <v>5.899999999999987</v>
      </c>
      <c r="B132">
        <f t="shared" si="6"/>
        <v>-0.3738766648302484</v>
      </c>
      <c r="D132" s="2" t="s">
        <v>7</v>
      </c>
    </row>
    <row r="133" spans="1:4">
      <c r="A133">
        <f t="shared" si="7"/>
        <v>5.9499999999999869</v>
      </c>
      <c r="B133">
        <f t="shared" ref="B133:B140" si="8">SIN(A133)</f>
        <v>-0.32705481486975324</v>
      </c>
      <c r="D133" s="2" t="s">
        <v>7</v>
      </c>
    </row>
    <row r="134" spans="1:4">
      <c r="A134">
        <f t="shared" si="7"/>
        <v>5.9999999999999867</v>
      </c>
      <c r="B134">
        <f t="shared" si="8"/>
        <v>-0.27941549819893868</v>
      </c>
      <c r="D134" s="2" t="s">
        <v>7</v>
      </c>
    </row>
    <row r="135" spans="1:4">
      <c r="A135">
        <f t="shared" si="7"/>
        <v>6.0499999999999865</v>
      </c>
      <c r="B135">
        <f t="shared" si="8"/>
        <v>-0.2310777882994052</v>
      </c>
      <c r="D135" s="2" t="s">
        <v>7</v>
      </c>
    </row>
    <row r="136" spans="1:4">
      <c r="A136">
        <f t="shared" si="7"/>
        <v>6.0999999999999863</v>
      </c>
      <c r="B136">
        <f t="shared" si="8"/>
        <v>-0.18216250427210898</v>
      </c>
      <c r="D136" s="2" t="s">
        <v>7</v>
      </c>
    </row>
    <row r="137" spans="1:4">
      <c r="A137">
        <f t="shared" si="7"/>
        <v>6.1499999999999861</v>
      </c>
      <c r="B137">
        <f t="shared" si="8"/>
        <v>-0.13279190885253081</v>
      </c>
      <c r="D137" s="2" t="s">
        <v>7</v>
      </c>
    </row>
    <row r="138" spans="1:4">
      <c r="A138">
        <f t="shared" si="7"/>
        <v>6.199999999999986</v>
      </c>
      <c r="B138">
        <f t="shared" si="8"/>
        <v>-8.3089402817510566E-2</v>
      </c>
      <c r="D138" s="2" t="s">
        <v>7</v>
      </c>
    </row>
    <row r="139" spans="1:4">
      <c r="A139">
        <f t="shared" si="7"/>
        <v>6.2499999999999858</v>
      </c>
      <c r="B139">
        <f t="shared" si="8"/>
        <v>-3.3179216547571021E-2</v>
      </c>
      <c r="D139" s="2" t="s">
        <v>7</v>
      </c>
    </row>
    <row r="140" spans="1:4">
      <c r="A140">
        <f t="shared" si="7"/>
        <v>6.2999999999999856</v>
      </c>
      <c r="B140">
        <f t="shared" si="8"/>
        <v>1.6813900484335505E-2</v>
      </c>
      <c r="D140" s="2" t="s">
        <v>7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U163"/>
  <sheetViews>
    <sheetView tabSelected="1" workbookViewId="0">
      <selection activeCell="A5" sqref="A5"/>
    </sheetView>
  </sheetViews>
  <sheetFormatPr defaultColWidth="9.7109375" defaultRowHeight="15.75" customHeight="1"/>
  <cols>
    <col min="1" max="16384" width="9.7109375" style="8"/>
  </cols>
  <sheetData>
    <row r="2" spans="1:20" ht="15.75" customHeight="1">
      <c r="A2" s="20" t="s">
        <v>33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0" ht="15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5.75" customHeight="1">
      <c r="A4" s="9" t="s">
        <v>0</v>
      </c>
      <c r="K4" s="10"/>
      <c r="L4" s="10"/>
      <c r="M4" s="10"/>
      <c r="N4" s="10"/>
      <c r="O4" s="10"/>
    </row>
    <row r="5" spans="1:20" ht="15.75" customHeight="1" thickBot="1">
      <c r="A5" s="9" t="s">
        <v>1</v>
      </c>
      <c r="K5" s="10"/>
      <c r="O5" s="11"/>
      <c r="P5" s="38" t="s">
        <v>18</v>
      </c>
      <c r="Q5" s="38"/>
      <c r="R5" s="38"/>
      <c r="S5" s="38"/>
    </row>
    <row r="6" spans="1:20" ht="15.75" customHeight="1">
      <c r="B6" s="27" t="s">
        <v>8</v>
      </c>
      <c r="C6" s="28"/>
      <c r="D6" s="29"/>
      <c r="J6" s="35" t="s">
        <v>10</v>
      </c>
      <c r="K6" s="36"/>
      <c r="O6" s="11"/>
      <c r="P6" s="12" t="s">
        <v>31</v>
      </c>
      <c r="Q6" s="12" t="s">
        <v>22</v>
      </c>
      <c r="R6" s="13" t="s">
        <v>30</v>
      </c>
      <c r="S6" s="13" t="s">
        <v>32</v>
      </c>
    </row>
    <row r="7" spans="1:20" ht="15.75" customHeight="1">
      <c r="B7" s="30"/>
      <c r="C7" s="31"/>
      <c r="D7" s="32"/>
      <c r="J7" s="6" t="s">
        <v>29</v>
      </c>
      <c r="K7" s="14">
        <v>1</v>
      </c>
      <c r="P7" s="7">
        <v>1</v>
      </c>
      <c r="Q7" s="7">
        <f>J27</f>
        <v>-2.7841762065605735E-3</v>
      </c>
      <c r="R7" s="7">
        <f>J30</f>
        <v>0</v>
      </c>
      <c r="S7" s="7">
        <f>IFERROR((Q7-R7)^2,9999999)</f>
        <v>7.7516371491780247E-6</v>
      </c>
    </row>
    <row r="8" spans="1:20" ht="15.75" customHeight="1">
      <c r="B8" s="6" t="s">
        <v>2</v>
      </c>
      <c r="C8" s="6" t="s">
        <v>3</v>
      </c>
      <c r="D8" s="6" t="s">
        <v>5</v>
      </c>
      <c r="J8" s="14">
        <v>1</v>
      </c>
      <c r="K8" s="7">
        <f>INDEX($B$9:$B$25,$J$8,$K$7)</f>
        <v>0</v>
      </c>
      <c r="P8" s="7">
        <v>2</v>
      </c>
      <c r="Q8" s="7">
        <f t="dataTable" ref="Q8:R23" dt2D="0" dtr="0" r1="J8"/>
        <v>0.39135697021795757</v>
      </c>
      <c r="R8" s="7">
        <v>0.38267188384103612</v>
      </c>
      <c r="S8" s="7">
        <f t="shared" ref="S8:S23" si="0">IFERROR((Q8-R8)^2,9999999)</f>
        <v>7.5430725374586502E-5</v>
      </c>
    </row>
    <row r="9" spans="1:20" ht="15.75" customHeight="1">
      <c r="B9" s="7">
        <v>0</v>
      </c>
      <c r="C9" s="7">
        <f t="shared" ref="C9:C25" si="1">SIN(B9)</f>
        <v>0</v>
      </c>
      <c r="D9" s="7" t="s">
        <v>6</v>
      </c>
      <c r="P9" s="7">
        <v>3</v>
      </c>
      <c r="Q9" s="7">
        <v>0.70721558491779035</v>
      </c>
      <c r="R9" s="7">
        <v>0.70708910329604824</v>
      </c>
      <c r="S9" s="7">
        <f t="shared" si="0"/>
        <v>1.5997600638515168E-8</v>
      </c>
    </row>
    <row r="10" spans="1:20" ht="15.75" customHeight="1">
      <c r="B10" s="7">
        <f>3.14149265358979/8</f>
        <v>0.39268658169872372</v>
      </c>
      <c r="C10" s="7">
        <f t="shared" si="1"/>
        <v>0.38267188384103612</v>
      </c>
      <c r="D10" s="7" t="s">
        <v>6</v>
      </c>
      <c r="I10" s="35" t="s">
        <v>12</v>
      </c>
      <c r="J10" s="37"/>
      <c r="K10" s="37"/>
      <c r="L10" s="36"/>
      <c r="P10" s="7">
        <v>4</v>
      </c>
      <c r="Q10" s="7">
        <v>0.91631280108207847</v>
      </c>
      <c r="R10" s="7">
        <v>0.92386518123297312</v>
      </c>
      <c r="S10" s="7">
        <f t="shared" si="0"/>
        <v>5.7038445943627577E-5</v>
      </c>
    </row>
    <row r="11" spans="1:20" ht="15.75" customHeight="1">
      <c r="B11" s="7">
        <f>3.14149265358979/4</f>
        <v>0.78537316339744745</v>
      </c>
      <c r="C11" s="7">
        <f t="shared" si="1"/>
        <v>0.70708910329604824</v>
      </c>
      <c r="D11" s="7" t="s">
        <v>6</v>
      </c>
      <c r="I11" s="6"/>
      <c r="J11" s="6" t="s">
        <v>14</v>
      </c>
      <c r="K11" s="6" t="s">
        <v>28</v>
      </c>
      <c r="L11" s="6" t="s">
        <v>22</v>
      </c>
      <c r="P11" s="7">
        <v>5</v>
      </c>
      <c r="Q11" s="7">
        <v>0.99373915574626892</v>
      </c>
      <c r="R11" s="7">
        <v>1</v>
      </c>
      <c r="S11" s="7">
        <f t="shared" si="0"/>
        <v>3.9198170769477477E-5</v>
      </c>
    </row>
    <row r="12" spans="1:20" ht="15.75" customHeight="1">
      <c r="B12" s="7">
        <f>3*3.14149265358979/8</f>
        <v>1.1780597450961712</v>
      </c>
      <c r="C12" s="7">
        <f t="shared" si="1"/>
        <v>0.92386518123297312</v>
      </c>
      <c r="D12" s="7" t="s">
        <v>6</v>
      </c>
      <c r="I12" s="6" t="s">
        <v>23</v>
      </c>
      <c r="J12" s="7">
        <v>-2.6756458458578334</v>
      </c>
      <c r="K12" s="7">
        <v>0.85681049894826578</v>
      </c>
      <c r="L12" s="7">
        <f>1/(1+EXP(-(J12+SUMPRODUCT(K12,$K$8))))</f>
        <v>6.4425826435690434E-2</v>
      </c>
      <c r="P12" s="7">
        <v>6</v>
      </c>
      <c r="Q12" s="7">
        <v>0.92509539265230245</v>
      </c>
      <c r="R12" s="7">
        <v>0.92387953251128752</v>
      </c>
      <c r="S12" s="7">
        <f t="shared" si="0"/>
        <v>1.4783158825088577E-6</v>
      </c>
    </row>
    <row r="13" spans="1:20" ht="15.75" customHeight="1">
      <c r="B13" s="7">
        <f>3.14159265358979/2</f>
        <v>1.570796326794895</v>
      </c>
      <c r="C13" s="7">
        <f t="shared" si="1"/>
        <v>1</v>
      </c>
      <c r="D13" s="7" t="s">
        <v>6</v>
      </c>
      <c r="I13" s="6" t="s">
        <v>24</v>
      </c>
      <c r="J13" s="7">
        <v>-68.629334475297881</v>
      </c>
      <c r="K13" s="7">
        <v>12.403968559199432</v>
      </c>
      <c r="L13" s="7">
        <f>1/(1+EXP(-(J13+SUMPRODUCT(K13,$K$8))))</f>
        <v>1.5655204341965255E-30</v>
      </c>
      <c r="P13" s="7">
        <v>7</v>
      </c>
      <c r="Q13" s="7">
        <v>0.7143069488997682</v>
      </c>
      <c r="R13" s="7">
        <v>0.70710678118654913</v>
      </c>
      <c r="S13" s="7">
        <f t="shared" si="0"/>
        <v>5.1842415098482398E-5</v>
      </c>
    </row>
    <row r="14" spans="1:20" ht="15.75" customHeight="1">
      <c r="B14" s="7">
        <f>5*3.14159265358979/8</f>
        <v>1.9634954084936187</v>
      </c>
      <c r="C14" s="7">
        <f t="shared" si="1"/>
        <v>0.92387953251128752</v>
      </c>
      <c r="D14" s="7" t="s">
        <v>6</v>
      </c>
      <c r="I14" s="6" t="s">
        <v>25</v>
      </c>
      <c r="J14" s="7">
        <v>10.019261992145275</v>
      </c>
      <c r="K14" s="7">
        <v>35.963967164554454</v>
      </c>
      <c r="L14" s="7">
        <f>1/(1+EXP(-(J14+SUMPRODUCT(K14,$K$8))))</f>
        <v>0.99995546817807701</v>
      </c>
      <c r="P14" s="7">
        <v>8</v>
      </c>
      <c r="Q14" s="7">
        <v>0.38899440747296765</v>
      </c>
      <c r="R14" s="7">
        <v>0.38268343236509234</v>
      </c>
      <c r="S14" s="7">
        <f t="shared" si="0"/>
        <v>3.9828406812221861E-5</v>
      </c>
    </row>
    <row r="15" spans="1:20" ht="15.75" customHeight="1">
      <c r="B15" s="7">
        <f>6*3.14159265358979/8</f>
        <v>2.3561944901923426</v>
      </c>
      <c r="C15" s="7">
        <f t="shared" si="1"/>
        <v>0.70710678118654913</v>
      </c>
      <c r="D15" s="7" t="s">
        <v>6</v>
      </c>
      <c r="I15" s="6" t="s">
        <v>26</v>
      </c>
      <c r="J15" s="7">
        <v>-0.99189884245367532</v>
      </c>
      <c r="K15" s="7">
        <v>0.33091046054098161</v>
      </c>
      <c r="L15" s="7">
        <f>1/(1+EXP(-(J15+SUMPRODUCT(K15,$K$8))))</f>
        <v>0.27053718390460707</v>
      </c>
      <c r="P15" s="7">
        <v>9</v>
      </c>
      <c r="Q15" s="7">
        <v>-2.7060231955999825E-4</v>
      </c>
      <c r="R15" s="7">
        <v>3.2311393144413003E-15</v>
      </c>
      <c r="S15" s="7">
        <f t="shared" si="0"/>
        <v>7.3225615353000124E-8</v>
      </c>
    </row>
    <row r="16" spans="1:20" ht="15.75" customHeight="1">
      <c r="B16" s="7">
        <f>7*3.14159265358979/8</f>
        <v>2.7488935718910663</v>
      </c>
      <c r="C16" s="7">
        <f t="shared" si="1"/>
        <v>0.38268343236509234</v>
      </c>
      <c r="D16" s="7" t="s">
        <v>6</v>
      </c>
      <c r="I16" s="6" t="s">
        <v>27</v>
      </c>
      <c r="J16" s="7">
        <v>13.656891147921337</v>
      </c>
      <c r="K16" s="7">
        <v>11.94459184402367</v>
      </c>
      <c r="L16" s="7">
        <f>1/(1+EXP(-(J16+SUMPRODUCT(K16,$K$8))))</f>
        <v>0.99999882810952179</v>
      </c>
      <c r="P16" s="7">
        <v>10</v>
      </c>
      <c r="Q16" s="7">
        <v>-0.38887969104762732</v>
      </c>
      <c r="R16" s="7">
        <v>-0.38268343236508967</v>
      </c>
      <c r="S16" s="7">
        <f t="shared" si="0"/>
        <v>3.8393621660923182E-5</v>
      </c>
    </row>
    <row r="17" spans="1:20" ht="15.75" customHeight="1">
      <c r="B17" s="7">
        <f>3.14159265358979</f>
        <v>3.14159265358979</v>
      </c>
      <c r="C17" s="7">
        <f t="shared" si="1"/>
        <v>3.2311393144413003E-15</v>
      </c>
      <c r="D17" s="7" t="s">
        <v>6</v>
      </c>
      <c r="P17" s="7">
        <v>11</v>
      </c>
      <c r="Q17" s="7">
        <v>-0.71289122191610943</v>
      </c>
      <c r="R17" s="7">
        <v>-0.70710678118654746</v>
      </c>
      <c r="S17" s="7">
        <f t="shared" si="0"/>
        <v>3.3459754553815398E-5</v>
      </c>
    </row>
    <row r="18" spans="1:20" ht="15.75" customHeight="1">
      <c r="B18" s="7">
        <f>9*PI()/8</f>
        <v>3.5342917352885173</v>
      </c>
      <c r="C18" s="7">
        <f t="shared" si="1"/>
        <v>-0.38268343236508967</v>
      </c>
      <c r="D18" s="7" t="s">
        <v>6</v>
      </c>
      <c r="J18" s="33" t="s">
        <v>13</v>
      </c>
      <c r="K18" s="34"/>
      <c r="O18" s="15"/>
      <c r="P18" s="7">
        <v>12</v>
      </c>
      <c r="Q18" s="7">
        <v>-0.92341421637961218</v>
      </c>
      <c r="R18" s="7">
        <v>-0.92387953251128652</v>
      </c>
      <c r="S18" s="7">
        <f t="shared" si="0"/>
        <v>2.1651910239636381E-7</v>
      </c>
    </row>
    <row r="19" spans="1:20" ht="15.75" customHeight="1">
      <c r="B19" s="7">
        <f>10*PI()/8</f>
        <v>3.9269908169872414</v>
      </c>
      <c r="C19" s="7">
        <f t="shared" si="1"/>
        <v>-0.70710678118654746</v>
      </c>
      <c r="D19" s="7" t="s">
        <v>6</v>
      </c>
      <c r="J19" s="6" t="s">
        <v>14</v>
      </c>
      <c r="K19" s="7">
        <v>-8.9232550003054911E-2</v>
      </c>
      <c r="O19" s="15"/>
      <c r="P19" s="7">
        <v>13</v>
      </c>
      <c r="Q19" s="7">
        <v>-0.99478291178002287</v>
      </c>
      <c r="R19" s="7">
        <v>-1</v>
      </c>
      <c r="S19" s="7">
        <f t="shared" si="0"/>
        <v>2.7218009495024124E-5</v>
      </c>
    </row>
    <row r="20" spans="1:20" ht="15.75" customHeight="1">
      <c r="B20" s="7">
        <f>11*PI()/8</f>
        <v>4.3196898986859651</v>
      </c>
      <c r="C20" s="7">
        <f t="shared" si="1"/>
        <v>-0.92387953251128652</v>
      </c>
      <c r="D20" s="7" t="s">
        <v>6</v>
      </c>
      <c r="J20" s="6" t="s">
        <v>15</v>
      </c>
      <c r="K20" s="7">
        <v>-16.033265159267742</v>
      </c>
      <c r="P20" s="7">
        <v>14</v>
      </c>
      <c r="Q20" s="7">
        <v>-0.92435908178475579</v>
      </c>
      <c r="R20" s="7">
        <v>-0.92387953251128663</v>
      </c>
      <c r="S20" s="7">
        <f t="shared" si="0"/>
        <v>2.2996750568479897E-7</v>
      </c>
    </row>
    <row r="21" spans="1:20" ht="15.75" customHeight="1">
      <c r="B21" s="7">
        <f>12*PI()/8</f>
        <v>4.7123889803846897</v>
      </c>
      <c r="C21" s="7">
        <f t="shared" si="1"/>
        <v>-1</v>
      </c>
      <c r="D21" s="7" t="s">
        <v>6</v>
      </c>
      <c r="J21" s="6" t="s">
        <v>16</v>
      </c>
      <c r="K21" s="7">
        <v>5.3062929627096384E-2</v>
      </c>
      <c r="P21" s="7">
        <v>15</v>
      </c>
      <c r="Q21" s="7">
        <v>-0.70718731739126994</v>
      </c>
      <c r="R21" s="7">
        <v>-0.70710678118654768</v>
      </c>
      <c r="S21" s="7">
        <f t="shared" si="0"/>
        <v>6.4860802710656268E-9</v>
      </c>
    </row>
    <row r="22" spans="1:20" ht="15.75" customHeight="1">
      <c r="B22" s="7">
        <f>13*PI()/8</f>
        <v>5.1050880620834143</v>
      </c>
      <c r="C22" s="7">
        <f t="shared" si="1"/>
        <v>-0.92387953251128663</v>
      </c>
      <c r="D22" s="7" t="s">
        <v>6</v>
      </c>
      <c r="J22" s="6" t="s">
        <v>17</v>
      </c>
      <c r="K22" s="7">
        <v>0.25857234966221398</v>
      </c>
      <c r="P22" s="7">
        <v>16</v>
      </c>
      <c r="Q22" s="7">
        <v>-0.3774615653560609</v>
      </c>
      <c r="R22" s="7">
        <v>-0.38268343236509039</v>
      </c>
      <c r="S22" s="7">
        <f t="shared" si="0"/>
        <v>2.7267895059990597E-5</v>
      </c>
    </row>
    <row r="23" spans="1:20" ht="15.75" customHeight="1">
      <c r="B23" s="7">
        <f>14*PI()/8</f>
        <v>5.497787143782138</v>
      </c>
      <c r="C23" s="7">
        <f t="shared" si="1"/>
        <v>-0.70710678118654768</v>
      </c>
      <c r="D23" s="7" t="s">
        <v>6</v>
      </c>
      <c r="J23" s="6" t="s">
        <v>19</v>
      </c>
      <c r="K23" s="7">
        <v>29.209777065476381</v>
      </c>
      <c r="P23" s="7">
        <v>17</v>
      </c>
      <c r="Q23" s="7">
        <v>-5.0350250975288446E-3</v>
      </c>
      <c r="R23" s="7">
        <v>-2.45029690981724E-16</v>
      </c>
      <c r="S23" s="7">
        <f t="shared" si="0"/>
        <v>2.535147773274289E-5</v>
      </c>
      <c r="T23" s="9"/>
    </row>
    <row r="24" spans="1:20" ht="15.75" customHeight="1">
      <c r="B24" s="7">
        <f>15*PI()/8</f>
        <v>5.8904862254808616</v>
      </c>
      <c r="C24" s="7">
        <f t="shared" si="1"/>
        <v>-0.38268343236509039</v>
      </c>
      <c r="D24" s="7" t="s">
        <v>6</v>
      </c>
      <c r="J24" s="6" t="s">
        <v>20</v>
      </c>
      <c r="K24" s="7">
        <v>1.7925376183653405</v>
      </c>
      <c r="R24" s="16" t="s">
        <v>34</v>
      </c>
      <c r="S24" s="17">
        <f>SUM(S7:S23)</f>
        <v>4.2480107143692266E-4</v>
      </c>
    </row>
    <row r="25" spans="1:20" ht="15.75" customHeight="1">
      <c r="B25" s="7">
        <f>16*PI()/8</f>
        <v>6.2831853071795862</v>
      </c>
      <c r="C25" s="7">
        <f t="shared" si="1"/>
        <v>-2.45029690981724E-16</v>
      </c>
      <c r="D25" s="7" t="s">
        <v>6</v>
      </c>
    </row>
    <row r="26" spans="1:20" ht="15.75" customHeight="1">
      <c r="J26" s="25" t="s">
        <v>22</v>
      </c>
      <c r="K26" s="26"/>
    </row>
    <row r="27" spans="1:20" ht="15.75" customHeight="1">
      <c r="J27" s="40">
        <f>SUMPRODUCT(K20:K24,$L$12:$L$16)+K19*100</f>
        <v>-2.7841762065605735E-3</v>
      </c>
      <c r="K27" s="40"/>
    </row>
    <row r="29" spans="1:20" ht="15.75" customHeight="1">
      <c r="J29" s="39" t="s">
        <v>30</v>
      </c>
      <c r="K29" s="39"/>
    </row>
    <row r="30" spans="1:20" ht="15.75" customHeight="1">
      <c r="J30" s="40">
        <f>INDEX($C$9:$C$25,J8,1)</f>
        <v>0</v>
      </c>
      <c r="K30" s="40"/>
      <c r="R30" s="18"/>
      <c r="S30" s="18"/>
    </row>
    <row r="32" spans="1:20" ht="15.75" customHeight="1">
      <c r="A32" s="41" t="s">
        <v>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19"/>
    </row>
    <row r="33" spans="1:20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19"/>
    </row>
    <row r="34" spans="1:20" ht="15.75" customHeight="1">
      <c r="O34" s="18"/>
      <c r="P34" s="18"/>
      <c r="Q34" s="18"/>
    </row>
    <row r="35" spans="1:20" ht="15.75" customHeight="1">
      <c r="B35" s="35" t="s">
        <v>9</v>
      </c>
      <c r="C35" s="37"/>
      <c r="D35" s="36"/>
      <c r="I35" s="18"/>
      <c r="J35" s="18"/>
      <c r="P35" s="42" t="s">
        <v>18</v>
      </c>
      <c r="Q35" s="42"/>
      <c r="R35" s="42"/>
    </row>
    <row r="36" spans="1:20" ht="15.75" customHeight="1">
      <c r="B36" s="5" t="s">
        <v>2</v>
      </c>
      <c r="C36" s="5" t="s">
        <v>3</v>
      </c>
      <c r="D36" s="5" t="s">
        <v>5</v>
      </c>
      <c r="I36" s="12" t="s">
        <v>29</v>
      </c>
      <c r="J36" s="7">
        <v>1</v>
      </c>
      <c r="P36" s="12" t="s">
        <v>11</v>
      </c>
      <c r="Q36" s="12" t="s">
        <v>22</v>
      </c>
      <c r="R36" s="13" t="s">
        <v>21</v>
      </c>
    </row>
    <row r="37" spans="1:20" ht="15.75" customHeight="1">
      <c r="B37" s="7">
        <f>0</f>
        <v>0</v>
      </c>
      <c r="C37" s="7">
        <f t="shared" ref="C37:C68" si="2">SIN(B37)</f>
        <v>0</v>
      </c>
      <c r="D37" s="7" t="s">
        <v>7</v>
      </c>
      <c r="I37" s="7">
        <v>1</v>
      </c>
      <c r="J37" s="7">
        <f>INDEX($B$37:$B$163,$I$37,J36)</f>
        <v>0</v>
      </c>
      <c r="P37" s="7">
        <v>1</v>
      </c>
      <c r="Q37" s="7">
        <f>I58</f>
        <v>-2.7841762065605735E-3</v>
      </c>
      <c r="R37" s="7">
        <f>U67</f>
        <v>0</v>
      </c>
    </row>
    <row r="38" spans="1:20" ht="15.75" customHeight="1">
      <c r="B38" s="7">
        <f t="shared" ref="B38:B101" si="3">B37+0.05</f>
        <v>0.05</v>
      </c>
      <c r="C38" s="7">
        <f t="shared" si="2"/>
        <v>4.9979169270678331E-2</v>
      </c>
      <c r="D38" s="7" t="s">
        <v>7</v>
      </c>
      <c r="P38" s="7">
        <v>2</v>
      </c>
      <c r="Q38" s="7">
        <f t="dataTable" ref="Q38:R163" dt2D="0" dtr="0" r1="I37"/>
        <v>5.0781542828797654E-2</v>
      </c>
      <c r="R38" s="7">
        <v>4.9979169270678331E-2</v>
      </c>
    </row>
    <row r="39" spans="1:20" ht="15.75" customHeight="1">
      <c r="B39" s="7">
        <f t="shared" si="3"/>
        <v>0.1</v>
      </c>
      <c r="C39" s="7">
        <f t="shared" si="2"/>
        <v>9.9833416646828155E-2</v>
      </c>
      <c r="D39" s="7" t="s">
        <v>7</v>
      </c>
      <c r="P39" s="7">
        <v>3</v>
      </c>
      <c r="Q39" s="7">
        <v>0.10346399317665878</v>
      </c>
      <c r="R39" s="7">
        <v>9.9833416646828155E-2</v>
      </c>
    </row>
    <row r="40" spans="1:20" ht="15.75" customHeight="1">
      <c r="B40" s="7">
        <f t="shared" si="3"/>
        <v>0.15000000000000002</v>
      </c>
      <c r="C40" s="7">
        <f t="shared" si="2"/>
        <v>0.14943813247359924</v>
      </c>
      <c r="D40" s="7" t="s">
        <v>7</v>
      </c>
      <c r="H40" s="22" t="s">
        <v>12</v>
      </c>
      <c r="I40" s="23"/>
      <c r="J40" s="23"/>
      <c r="K40" s="24"/>
      <c r="P40" s="7">
        <v>4</v>
      </c>
      <c r="Q40" s="7">
        <v>0.15521522831510559</v>
      </c>
      <c r="R40" s="7">
        <v>0.14943813247359924</v>
      </c>
    </row>
    <row r="41" spans="1:20" ht="15.75" customHeight="1">
      <c r="B41" s="7">
        <f t="shared" si="3"/>
        <v>0.2</v>
      </c>
      <c r="C41" s="7">
        <f t="shared" si="2"/>
        <v>0.19866933079506122</v>
      </c>
      <c r="D41" s="7" t="s">
        <v>7</v>
      </c>
      <c r="H41" s="7"/>
      <c r="I41" s="12" t="s">
        <v>14</v>
      </c>
      <c r="J41" s="12" t="s">
        <v>28</v>
      </c>
      <c r="K41" s="13" t="s">
        <v>22</v>
      </c>
      <c r="P41" s="7">
        <v>5</v>
      </c>
      <c r="Q41" s="7">
        <v>0.20598069470980107</v>
      </c>
      <c r="R41" s="7">
        <v>0.19866933079506122</v>
      </c>
    </row>
    <row r="42" spans="1:20" ht="15.75" customHeight="1">
      <c r="B42" s="7">
        <f t="shared" si="3"/>
        <v>0.25</v>
      </c>
      <c r="C42" s="7">
        <f t="shared" si="2"/>
        <v>0.24740395925452294</v>
      </c>
      <c r="D42" s="7" t="s">
        <v>7</v>
      </c>
      <c r="H42" s="12" t="s">
        <v>23</v>
      </c>
      <c r="I42" s="7">
        <v>-2.6756458458578334</v>
      </c>
      <c r="J42" s="7">
        <v>0.85681049894826578</v>
      </c>
      <c r="K42" s="7">
        <f>1/(1+EXP(-(I42+SUMPRODUCT(J42,$J$37))))</f>
        <v>6.4425826435690434E-2</v>
      </c>
      <c r="P42" s="7">
        <v>6</v>
      </c>
      <c r="Q42" s="7">
        <v>0.25570399645964592</v>
      </c>
      <c r="R42" s="7">
        <v>0.24740395925452294</v>
      </c>
    </row>
    <row r="43" spans="1:20" ht="15.75" customHeight="1">
      <c r="B43" s="7">
        <f t="shared" si="3"/>
        <v>0.3</v>
      </c>
      <c r="C43" s="7">
        <f t="shared" si="2"/>
        <v>0.29552020666133955</v>
      </c>
      <c r="D43" s="7" t="s">
        <v>7</v>
      </c>
      <c r="H43" s="12" t="s">
        <v>24</v>
      </c>
      <c r="I43" s="7">
        <v>-68.629334475297881</v>
      </c>
      <c r="J43" s="7">
        <v>12.403968559199432</v>
      </c>
      <c r="K43" s="7">
        <f>1/(1+EXP(-(I43+SUMPRODUCT(J43,$J$37))))</f>
        <v>1.5655204341965255E-30</v>
      </c>
      <c r="P43" s="7">
        <v>7</v>
      </c>
      <c r="Q43" s="7">
        <v>0.3043277650133458</v>
      </c>
      <c r="R43" s="7">
        <v>0.29552020666133955</v>
      </c>
    </row>
    <row r="44" spans="1:20" ht="15.75" customHeight="1">
      <c r="B44" s="7">
        <f t="shared" si="3"/>
        <v>0.35</v>
      </c>
      <c r="C44" s="7">
        <f t="shared" si="2"/>
        <v>0.34289780745545134</v>
      </c>
      <c r="D44" s="7" t="s">
        <v>7</v>
      </c>
      <c r="H44" s="12" t="s">
        <v>25</v>
      </c>
      <c r="I44" s="7">
        <v>10.019261992145275</v>
      </c>
      <c r="J44" s="7">
        <v>35.963967164554454</v>
      </c>
      <c r="K44" s="7">
        <f>1/(1+EXP(-(I44+SUMPRODUCT(J44,$J$37))))</f>
        <v>0.99995546817807701</v>
      </c>
      <c r="P44" s="7">
        <v>8</v>
      </c>
      <c r="Q44" s="7">
        <v>0.35179388441662773</v>
      </c>
      <c r="R44" s="7">
        <v>0.34289780745545134</v>
      </c>
    </row>
    <row r="45" spans="1:20" ht="15.75" customHeight="1">
      <c r="B45" s="7">
        <f t="shared" si="3"/>
        <v>0.39999999999999997</v>
      </c>
      <c r="C45" s="7">
        <f t="shared" si="2"/>
        <v>0.38941834230865047</v>
      </c>
      <c r="D45" s="7" t="s">
        <v>7</v>
      </c>
      <c r="H45" s="12" t="s">
        <v>26</v>
      </c>
      <c r="I45" s="7">
        <v>-0.99189884245367532</v>
      </c>
      <c r="J45" s="7">
        <v>0.33091046054098161</v>
      </c>
      <c r="K45" s="7">
        <f>1/(1+EXP(-(I45+SUMPRODUCT(J45,$J$37))))</f>
        <v>0.27053718390460707</v>
      </c>
      <c r="P45" s="7">
        <v>9</v>
      </c>
      <c r="Q45" s="7">
        <v>0.39804361374148201</v>
      </c>
      <c r="R45" s="7">
        <v>0.38941834230865047</v>
      </c>
    </row>
    <row r="46" spans="1:20" ht="15.75" customHeight="1">
      <c r="B46" s="7">
        <f t="shared" si="3"/>
        <v>0.44999999999999996</v>
      </c>
      <c r="C46" s="7">
        <f t="shared" si="2"/>
        <v>0.43496553411123018</v>
      </c>
      <c r="D46" s="7" t="s">
        <v>7</v>
      </c>
      <c r="H46" s="12" t="s">
        <v>27</v>
      </c>
      <c r="I46" s="7">
        <v>13.656891147921337</v>
      </c>
      <c r="J46" s="7">
        <v>11.94459184402367</v>
      </c>
      <c r="K46" s="7">
        <f>1/(1+EXP(-(I46+SUMPRODUCT(J46,$J$37))))</f>
        <v>0.99999882810952179</v>
      </c>
      <c r="P46" s="7">
        <v>10</v>
      </c>
      <c r="Q46" s="7">
        <v>0.44301769835554161</v>
      </c>
      <c r="R46" s="7">
        <v>0.43496553411123018</v>
      </c>
    </row>
    <row r="47" spans="1:20" ht="15.75" customHeight="1">
      <c r="B47" s="7">
        <f t="shared" si="3"/>
        <v>0.49999999999999994</v>
      </c>
      <c r="C47" s="7">
        <f t="shared" si="2"/>
        <v>0.47942553860420295</v>
      </c>
      <c r="D47" s="7" t="s">
        <v>7</v>
      </c>
      <c r="P47" s="7">
        <v>11</v>
      </c>
      <c r="Q47" s="7">
        <v>0.48665648640713144</v>
      </c>
      <c r="R47" s="7">
        <v>0.47942553860420295</v>
      </c>
    </row>
    <row r="48" spans="1:20" ht="15.75" customHeight="1">
      <c r="B48" s="7">
        <f t="shared" si="3"/>
        <v>0.54999999999999993</v>
      </c>
      <c r="C48" s="7">
        <f t="shared" si="2"/>
        <v>0.52268722893065911</v>
      </c>
      <c r="D48" s="7" t="s">
        <v>7</v>
      </c>
      <c r="I48" s="21" t="s">
        <v>13</v>
      </c>
      <c r="J48" s="21"/>
      <c r="P48" s="7">
        <v>12</v>
      </c>
      <c r="Q48" s="7">
        <v>0.5289000540010953</v>
      </c>
      <c r="R48" s="7">
        <v>0.52268722893065911</v>
      </c>
    </row>
    <row r="49" spans="2:18" ht="15.75" customHeight="1">
      <c r="B49" s="7">
        <f t="shared" si="3"/>
        <v>0.6</v>
      </c>
      <c r="C49" s="7">
        <f t="shared" si="2"/>
        <v>0.56464247339503537</v>
      </c>
      <c r="D49" s="7" t="s">
        <v>7</v>
      </c>
      <c r="I49" s="12" t="s">
        <v>14</v>
      </c>
      <c r="J49" s="7">
        <v>-8.9232550003054911E-2</v>
      </c>
      <c r="P49" s="7">
        <v>13</v>
      </c>
      <c r="Q49" s="7">
        <v>0.56968834014843317</v>
      </c>
      <c r="R49" s="7">
        <v>0.56464247339503537</v>
      </c>
    </row>
    <row r="50" spans="2:18" ht="15.75" customHeight="1">
      <c r="B50" s="7">
        <f t="shared" si="3"/>
        <v>0.65</v>
      </c>
      <c r="C50" s="7">
        <f t="shared" si="2"/>
        <v>0.60518640573603955</v>
      </c>
      <c r="D50" s="7" t="s">
        <v>7</v>
      </c>
      <c r="I50" s="12" t="s">
        <v>15</v>
      </c>
      <c r="J50" s="7">
        <v>-16.033265159267742</v>
      </c>
      <c r="P50" s="7">
        <v>14</v>
      </c>
      <c r="Q50" s="7">
        <v>0.60896129201675464</v>
      </c>
      <c r="R50" s="7">
        <v>0.60518640573603955</v>
      </c>
    </row>
    <row r="51" spans="2:18" ht="15.75" customHeight="1">
      <c r="B51" s="7">
        <f t="shared" si="3"/>
        <v>0.70000000000000007</v>
      </c>
      <c r="C51" s="7">
        <f t="shared" si="2"/>
        <v>0.64421768723769113</v>
      </c>
      <c r="D51" s="7" t="s">
        <v>7</v>
      </c>
      <c r="I51" s="12" t="s">
        <v>16</v>
      </c>
      <c r="J51" s="7">
        <v>5.3062929627096384E-2</v>
      </c>
      <c r="P51" s="7">
        <v>15</v>
      </c>
      <c r="Q51" s="7">
        <v>0.64665902080565374</v>
      </c>
      <c r="R51" s="7">
        <v>0.64421768723769113</v>
      </c>
    </row>
    <row r="52" spans="2:18" ht="15.75" customHeight="1">
      <c r="B52" s="7">
        <f t="shared" si="3"/>
        <v>0.75000000000000011</v>
      </c>
      <c r="C52" s="7">
        <f t="shared" si="2"/>
        <v>0.68163876002333423</v>
      </c>
      <c r="D52" s="7" t="s">
        <v>7</v>
      </c>
      <c r="I52" s="12" t="s">
        <v>17</v>
      </c>
      <c r="J52" s="7">
        <v>0.25857234966221398</v>
      </c>
      <c r="P52" s="7">
        <v>16</v>
      </c>
      <c r="Q52" s="7">
        <v>0.68272196845091315</v>
      </c>
      <c r="R52" s="7">
        <v>0.68163876002333423</v>
      </c>
    </row>
    <row r="53" spans="2:18" ht="15.75" customHeight="1">
      <c r="B53" s="7">
        <f t="shared" si="3"/>
        <v>0.80000000000000016</v>
      </c>
      <c r="C53" s="7">
        <f t="shared" si="2"/>
        <v>0.7173560908995229</v>
      </c>
      <c r="D53" s="7" t="s">
        <v>7</v>
      </c>
      <c r="I53" s="12" t="s">
        <v>19</v>
      </c>
      <c r="J53" s="7">
        <v>29.209777065476381</v>
      </c>
      <c r="P53" s="7">
        <v>17</v>
      </c>
      <c r="Q53" s="7">
        <v>0.71709108526493814</v>
      </c>
      <c r="R53" s="7">
        <v>0.7173560908995229</v>
      </c>
    </row>
    <row r="54" spans="2:18" ht="15.75" customHeight="1">
      <c r="B54" s="7">
        <f t="shared" si="3"/>
        <v>0.8500000000000002</v>
      </c>
      <c r="C54" s="7">
        <f t="shared" si="2"/>
        <v>0.75128040514029282</v>
      </c>
      <c r="D54" s="7" t="s">
        <v>7</v>
      </c>
      <c r="I54" s="12" t="s">
        <v>20</v>
      </c>
      <c r="J54" s="7">
        <v>1.7925376183653405</v>
      </c>
      <c r="P54" s="7">
        <v>18</v>
      </c>
      <c r="Q54" s="7">
        <v>0.74970801853012681</v>
      </c>
      <c r="R54" s="7">
        <v>0.75128040514029282</v>
      </c>
    </row>
    <row r="55" spans="2:18" ht="15.75" customHeight="1">
      <c r="B55" s="7">
        <f t="shared" si="3"/>
        <v>0.90000000000000024</v>
      </c>
      <c r="C55" s="7">
        <f t="shared" si="2"/>
        <v>0.78332690962748353</v>
      </c>
      <c r="D55" s="7" t="s">
        <v>7</v>
      </c>
      <c r="P55" s="7">
        <v>19</v>
      </c>
      <c r="Q55" s="7">
        <v>0.78051531197016821</v>
      </c>
      <c r="R55" s="7">
        <v>0.78332690962748353</v>
      </c>
    </row>
    <row r="56" spans="2:18" ht="15.75" customHeight="1">
      <c r="B56" s="7">
        <f t="shared" si="3"/>
        <v>0.95000000000000029</v>
      </c>
      <c r="C56" s="7">
        <f t="shared" si="2"/>
        <v>0.81341550478937397</v>
      </c>
      <c r="D56" s="7" t="s">
        <v>7</v>
      </c>
      <c r="P56" s="7">
        <v>20</v>
      </c>
      <c r="Q56" s="7">
        <v>0.80945661592743434</v>
      </c>
      <c r="R56" s="7">
        <v>0.81341550478937397</v>
      </c>
    </row>
    <row r="57" spans="2:18" ht="15.75" customHeight="1">
      <c r="B57" s="7">
        <f t="shared" si="3"/>
        <v>1.0000000000000002</v>
      </c>
      <c r="C57" s="7">
        <f t="shared" si="2"/>
        <v>0.84147098480789662</v>
      </c>
      <c r="D57" s="7" t="s">
        <v>7</v>
      </c>
      <c r="I57" s="9" t="s">
        <v>22</v>
      </c>
      <c r="P57" s="7">
        <v>21</v>
      </c>
      <c r="Q57" s="7">
        <v>0.83647690797114826</v>
      </c>
      <c r="R57" s="7">
        <v>0.84147098480789662</v>
      </c>
    </row>
    <row r="58" spans="2:18" ht="15.75" customHeight="1">
      <c r="B58" s="7">
        <f t="shared" si="3"/>
        <v>1.0500000000000003</v>
      </c>
      <c r="C58" s="7">
        <f t="shared" si="2"/>
        <v>0.86742322559401708</v>
      </c>
      <c r="D58" s="7" t="s">
        <v>7</v>
      </c>
      <c r="I58" s="8">
        <f>SUMPRODUCT(J50:J54,$K$42:$K$46)+J49*100</f>
        <v>-2.7841762065605735E-3</v>
      </c>
      <c r="P58" s="7">
        <v>22</v>
      </c>
      <c r="Q58" s="7">
        <v>0.8615227235499674</v>
      </c>
      <c r="R58" s="7">
        <v>0.86742322559401708</v>
      </c>
    </row>
    <row r="59" spans="2:18" ht="15.75" customHeight="1">
      <c r="B59" s="7">
        <f t="shared" si="3"/>
        <v>1.1000000000000003</v>
      </c>
      <c r="C59" s="7">
        <f t="shared" si="2"/>
        <v>0.89120736006143553</v>
      </c>
      <c r="D59" s="7" t="s">
        <v>7</v>
      </c>
      <c r="P59" s="7">
        <v>23</v>
      </c>
      <c r="Q59" s="7">
        <v>0.88454239618335251</v>
      </c>
      <c r="R59" s="7">
        <v>0.89120736006143553</v>
      </c>
    </row>
    <row r="60" spans="2:18" ht="15.75" customHeight="1">
      <c r="B60" s="7">
        <f t="shared" si="3"/>
        <v>1.1500000000000004</v>
      </c>
      <c r="C60" s="7">
        <f t="shared" si="2"/>
        <v>0.91276394026052121</v>
      </c>
      <c r="D60" s="7" t="s">
        <v>7</v>
      </c>
      <c r="P60" s="7">
        <v>24</v>
      </c>
      <c r="Q60" s="7">
        <v>0.90548630655932527</v>
      </c>
      <c r="R60" s="7">
        <v>0.91276394026052121</v>
      </c>
    </row>
    <row r="61" spans="2:18" ht="15.75" customHeight="1">
      <c r="B61" s="7">
        <f t="shared" si="3"/>
        <v>1.2000000000000004</v>
      </c>
      <c r="C61" s="7">
        <f t="shared" si="2"/>
        <v>0.93203908596722651</v>
      </c>
      <c r="D61" s="7" t="s">
        <v>7</v>
      </c>
      <c r="P61" s="7">
        <v>25</v>
      </c>
      <c r="Q61" s="7">
        <v>0.92430713977179479</v>
      </c>
      <c r="R61" s="7">
        <v>0.93203908596722651</v>
      </c>
    </row>
    <row r="62" spans="2:18" ht="15.75" customHeight="1">
      <c r="B62" s="7">
        <f t="shared" si="3"/>
        <v>1.2500000000000004</v>
      </c>
      <c r="C62" s="7">
        <f t="shared" si="2"/>
        <v>0.94898461935558631</v>
      </c>
      <c r="D62" s="7" t="s">
        <v>7</v>
      </c>
      <c r="P62" s="7">
        <v>26</v>
      </c>
      <c r="Q62" s="7">
        <v>0.94096014978984677</v>
      </c>
      <c r="R62" s="7">
        <v>0.94898461935558631</v>
      </c>
    </row>
    <row r="63" spans="2:18" ht="15.75" customHeight="1">
      <c r="B63" s="7">
        <f t="shared" si="3"/>
        <v>1.3000000000000005</v>
      </c>
      <c r="C63" s="7">
        <f t="shared" si="2"/>
        <v>0.96355818541719307</v>
      </c>
      <c r="D63" s="7" t="s">
        <v>7</v>
      </c>
      <c r="P63" s="7">
        <v>27</v>
      </c>
      <c r="Q63" s="7">
        <v>0.95540343010458351</v>
      </c>
      <c r="R63" s="7">
        <v>0.96355818541719307</v>
      </c>
    </row>
    <row r="64" spans="2:18" ht="15.75" customHeight="1">
      <c r="B64" s="7">
        <f t="shared" si="3"/>
        <v>1.3500000000000005</v>
      </c>
      <c r="C64" s="7">
        <f t="shared" si="2"/>
        <v>0.9757233578266592</v>
      </c>
      <c r="D64" s="7" t="s">
        <v>7</v>
      </c>
      <c r="P64" s="7">
        <v>28</v>
      </c>
      <c r="Q64" s="7">
        <v>0.96759818934840958</v>
      </c>
      <c r="R64" s="7">
        <v>0.9757233578266592</v>
      </c>
    </row>
    <row r="65" spans="2:21" ht="15.75" customHeight="1">
      <c r="B65" s="7">
        <f t="shared" si="3"/>
        <v>1.4000000000000006</v>
      </c>
      <c r="C65" s="7">
        <f t="shared" si="2"/>
        <v>0.98544972998846025</v>
      </c>
      <c r="D65" s="7" t="s">
        <v>7</v>
      </c>
      <c r="P65" s="7">
        <v>29</v>
      </c>
      <c r="Q65" s="7">
        <v>0.97750903052767057</v>
      </c>
      <c r="R65" s="7">
        <v>0.98544972998846025</v>
      </c>
    </row>
    <row r="66" spans="2:21" ht="15.75" customHeight="1">
      <c r="B66" s="7">
        <f t="shared" si="3"/>
        <v>1.4500000000000006</v>
      </c>
      <c r="C66" s="7">
        <f t="shared" si="2"/>
        <v>0.99271299103758859</v>
      </c>
      <c r="D66" s="7" t="s">
        <v>7</v>
      </c>
      <c r="P66" s="7">
        <v>30</v>
      </c>
      <c r="Q66" s="7">
        <v>0.98510423235482847</v>
      </c>
      <c r="R66" s="7">
        <v>0.99271299103758859</v>
      </c>
      <c r="U66" s="9" t="s">
        <v>21</v>
      </c>
    </row>
    <row r="67" spans="2:21" ht="15.75" customHeight="1">
      <c r="B67" s="7">
        <f t="shared" si="3"/>
        <v>1.5000000000000007</v>
      </c>
      <c r="C67" s="7">
        <f t="shared" si="2"/>
        <v>0.99749498660405445</v>
      </c>
      <c r="D67" s="7" t="s">
        <v>7</v>
      </c>
      <c r="P67" s="7">
        <v>31</v>
      </c>
      <c r="Q67" s="7">
        <v>0.99035603101222236</v>
      </c>
      <c r="R67" s="7">
        <v>0.99749498660405445</v>
      </c>
      <c r="U67" s="8">
        <f>INDEX($C$37:$C$163,$I$37,1)</f>
        <v>0</v>
      </c>
    </row>
    <row r="68" spans="2:21" ht="15.75" customHeight="1">
      <c r="B68" s="7">
        <f t="shared" si="3"/>
        <v>1.5500000000000007</v>
      </c>
      <c r="C68" s="7">
        <f t="shared" si="2"/>
        <v>0.99978376418935699</v>
      </c>
      <c r="D68" s="7" t="s">
        <v>7</v>
      </c>
      <c r="P68" s="7">
        <v>32</v>
      </c>
      <c r="Q68" s="7">
        <v>0.99324090052904701</v>
      </c>
      <c r="R68" s="7">
        <v>0.99978376418935699</v>
      </c>
    </row>
    <row r="69" spans="2:21" ht="15.75" customHeight="1">
      <c r="B69" s="7">
        <f t="shared" si="3"/>
        <v>1.6000000000000008</v>
      </c>
      <c r="C69" s="7">
        <f t="shared" ref="C69:C91" si="4">SIN(B69)</f>
        <v>0.99957360304150511</v>
      </c>
      <c r="D69" s="7" t="s">
        <v>7</v>
      </c>
      <c r="P69" s="7">
        <v>33</v>
      </c>
      <c r="Q69" s="7">
        <v>0.99373982980806375</v>
      </c>
      <c r="R69" s="7">
        <v>0.99957360304150511</v>
      </c>
    </row>
    <row r="70" spans="2:21" ht="15.75" customHeight="1">
      <c r="B70" s="7">
        <f t="shared" si="3"/>
        <v>1.6500000000000008</v>
      </c>
      <c r="C70" s="7">
        <f t="shared" si="4"/>
        <v>0.99686502845391878</v>
      </c>
      <c r="D70" s="7" t="s">
        <v>7</v>
      </c>
      <c r="P70" s="7">
        <v>34</v>
      </c>
      <c r="Q70" s="7">
        <v>0.99183859420208087</v>
      </c>
      <c r="R70" s="7">
        <v>0.99686502845391878</v>
      </c>
    </row>
    <row r="71" spans="2:21" ht="15.75" customHeight="1">
      <c r="B71" s="7">
        <f t="shared" si="3"/>
        <v>1.7000000000000008</v>
      </c>
      <c r="C71" s="7">
        <f t="shared" si="4"/>
        <v>0.99166481045246846</v>
      </c>
      <c r="D71" s="7" t="s">
        <v>7</v>
      </c>
      <c r="P71" s="7">
        <v>35</v>
      </c>
      <c r="Q71" s="7">
        <v>0.98752801941525092</v>
      </c>
      <c r="R71" s="7">
        <v>0.99166481045246846</v>
      </c>
    </row>
    <row r="72" spans="2:21" ht="15.75" customHeight="1">
      <c r="B72" s="7">
        <f t="shared" si="3"/>
        <v>1.7500000000000009</v>
      </c>
      <c r="C72" s="7">
        <f t="shared" si="4"/>
        <v>0.9839859468739367</v>
      </c>
      <c r="D72" s="7" t="s">
        <v>7</v>
      </c>
      <c r="P72" s="7">
        <v>36</v>
      </c>
      <c r="Q72" s="7">
        <v>0.98080423539338391</v>
      </c>
      <c r="R72" s="7">
        <v>0.9839859468739367</v>
      </c>
    </row>
    <row r="73" spans="2:21" ht="15.75" customHeight="1">
      <c r="B73" s="7">
        <f t="shared" si="3"/>
        <v>1.8000000000000009</v>
      </c>
      <c r="C73" s="7">
        <f t="shared" si="4"/>
        <v>0.97384763087819493</v>
      </c>
      <c r="D73" s="7" t="s">
        <v>7</v>
      </c>
      <c r="P73" s="7">
        <v>37</v>
      </c>
      <c r="Q73" s="7">
        <v>0.97166891777423814</v>
      </c>
      <c r="R73" s="7">
        <v>0.97384763087819493</v>
      </c>
    </row>
    <row r="74" spans="2:21" ht="15.75" customHeight="1">
      <c r="B74" s="7">
        <f t="shared" si="3"/>
        <v>1.850000000000001</v>
      </c>
      <c r="C74" s="7">
        <f t="shared" si="4"/>
        <v>0.96127520297529967</v>
      </c>
      <c r="D74" s="7" t="s">
        <v>7</v>
      </c>
      <c r="P74" s="7">
        <v>38</v>
      </c>
      <c r="Q74" s="7">
        <v>0.96012951439644389</v>
      </c>
      <c r="R74" s="7">
        <v>0.96127520297529967</v>
      </c>
    </row>
    <row r="75" spans="2:21" ht="15.75" customHeight="1">
      <c r="B75" s="7">
        <f t="shared" si="3"/>
        <v>1.900000000000001</v>
      </c>
      <c r="C75" s="7">
        <f t="shared" si="4"/>
        <v>0.94630008768741414</v>
      </c>
      <c r="D75" s="7" t="s">
        <v>7</v>
      </c>
      <c r="P75" s="7">
        <v>39</v>
      </c>
      <c r="Q75" s="7">
        <v>0.94619945431659858</v>
      </c>
      <c r="R75" s="7">
        <v>0.94630008768741414</v>
      </c>
    </row>
    <row r="76" spans="2:21" ht="15.75" customHeight="1">
      <c r="B76" s="7">
        <f t="shared" si="3"/>
        <v>1.9500000000000011</v>
      </c>
      <c r="C76" s="7">
        <f t="shared" si="4"/>
        <v>0.92895971500386887</v>
      </c>
      <c r="D76" s="7" t="s">
        <v>7</v>
      </c>
      <c r="P76" s="7">
        <v>40</v>
      </c>
      <c r="Q76" s="7">
        <v>0.92989833676254641</v>
      </c>
      <c r="R76" s="7">
        <v>0.92895971500386887</v>
      </c>
    </row>
    <row r="77" spans="2:21" ht="15.75" customHeight="1">
      <c r="B77" s="7">
        <f t="shared" si="3"/>
        <v>2.0000000000000009</v>
      </c>
      <c r="C77" s="7">
        <f t="shared" si="4"/>
        <v>0.90929742682568138</v>
      </c>
      <c r="D77" s="7" t="s">
        <v>7</v>
      </c>
      <c r="P77" s="7">
        <v>41</v>
      </c>
      <c r="Q77" s="7">
        <v>0.91125209745828073</v>
      </c>
      <c r="R77" s="7">
        <v>0.90929742682568138</v>
      </c>
    </row>
    <row r="78" spans="2:21" ht="15.75" customHeight="1">
      <c r="B78" s="7">
        <f t="shared" si="3"/>
        <v>2.0500000000000007</v>
      </c>
      <c r="C78" s="7">
        <f t="shared" si="4"/>
        <v>0.88736236863337514</v>
      </c>
      <c r="D78" s="7" t="s">
        <v>7</v>
      </c>
      <c r="P78" s="7">
        <v>42</v>
      </c>
      <c r="Q78" s="7">
        <v>0.89029314979607932</v>
      </c>
      <c r="R78" s="7">
        <v>0.88736236863337514</v>
      </c>
    </row>
    <row r="79" spans="2:21" ht="15.75" customHeight="1">
      <c r="B79" s="7">
        <f t="shared" si="3"/>
        <v>2.1000000000000005</v>
      </c>
      <c r="C79" s="7">
        <f t="shared" si="4"/>
        <v>0.86320936664887349</v>
      </c>
      <c r="D79" s="7" t="s">
        <v>7</v>
      </c>
      <c r="P79" s="7">
        <v>43</v>
      </c>
      <c r="Q79" s="7">
        <v>0.86706049840571708</v>
      </c>
      <c r="R79" s="7">
        <v>0.86320936664887349</v>
      </c>
    </row>
    <row r="80" spans="2:21" ht="15.75" customHeight="1">
      <c r="B80" s="7">
        <f t="shared" si="3"/>
        <v>2.1500000000000004</v>
      </c>
      <c r="C80" s="7">
        <f t="shared" si="4"/>
        <v>0.83689879079849749</v>
      </c>
      <c r="D80" s="7" t="s">
        <v>7</v>
      </c>
      <c r="P80" s="7">
        <v>44</v>
      </c>
      <c r="Q80" s="7">
        <v>0.84159982278122136</v>
      </c>
      <c r="R80" s="7">
        <v>0.83689879079849749</v>
      </c>
    </row>
    <row r="81" spans="2:18" ht="15.75" customHeight="1">
      <c r="B81" s="7">
        <f t="shared" si="3"/>
        <v>2.2000000000000002</v>
      </c>
      <c r="C81" s="7">
        <f t="shared" si="4"/>
        <v>0.80849640381959009</v>
      </c>
      <c r="D81" s="7" t="s">
        <v>7</v>
      </c>
      <c r="P81" s="7">
        <v>45</v>
      </c>
      <c r="Q81" s="7">
        <v>0.81396352877361089</v>
      </c>
      <c r="R81" s="7">
        <v>0.80849640381959009</v>
      </c>
    </row>
    <row r="82" spans="2:18" ht="15.75" customHeight="1">
      <c r="B82" s="7">
        <f t="shared" si="3"/>
        <v>2.25</v>
      </c>
      <c r="C82" s="7">
        <f t="shared" si="4"/>
        <v>0.7780731968879212</v>
      </c>
      <c r="D82" s="7" t="s">
        <v>7</v>
      </c>
      <c r="P82" s="7">
        <v>46</v>
      </c>
      <c r="Q82" s="7">
        <v>0.78421076594397476</v>
      </c>
      <c r="R82" s="7">
        <v>0.7780731968879212</v>
      </c>
    </row>
    <row r="83" spans="2:18" ht="15.75" customHeight="1">
      <c r="B83" s="7">
        <f t="shared" si="3"/>
        <v>2.2999999999999998</v>
      </c>
      <c r="C83" s="7">
        <f t="shared" si="4"/>
        <v>0.74570521217672026</v>
      </c>
      <c r="D83" s="7" t="s">
        <v>7</v>
      </c>
      <c r="P83" s="7">
        <v>47</v>
      </c>
      <c r="Q83" s="7">
        <v>0.75240740899516823</v>
      </c>
      <c r="R83" s="7">
        <v>0.74570521217672026</v>
      </c>
    </row>
    <row r="84" spans="2:18" ht="15.75" customHeight="1">
      <c r="B84" s="7">
        <f t="shared" si="3"/>
        <v>2.3499999999999996</v>
      </c>
      <c r="C84" s="7">
        <f t="shared" si="4"/>
        <v>0.71147335279084467</v>
      </c>
      <c r="D84" s="7" t="s">
        <v>7</v>
      </c>
      <c r="P84" s="7">
        <v>48</v>
      </c>
      <c r="Q84" s="7">
        <v>0.71862600176142877</v>
      </c>
      <c r="R84" s="7">
        <v>0.71147335279084467</v>
      </c>
    </row>
    <row r="85" spans="2:18" ht="15.75" customHeight="1">
      <c r="B85" s="7">
        <f t="shared" si="3"/>
        <v>2.3999999999999995</v>
      </c>
      <c r="C85" s="7">
        <f t="shared" si="4"/>
        <v>0.67546318055115129</v>
      </c>
      <c r="D85" s="7" t="s">
        <v>7</v>
      </c>
      <c r="P85" s="7">
        <v>49</v>
      </c>
      <c r="Q85" s="7">
        <v>0.68294566253167233</v>
      </c>
      <c r="R85" s="7">
        <v>0.67546318055115129</v>
      </c>
    </row>
    <row r="86" spans="2:18" ht="15.75" customHeight="1">
      <c r="B86" s="7">
        <f t="shared" si="3"/>
        <v>2.4499999999999993</v>
      </c>
      <c r="C86" s="7">
        <f t="shared" si="4"/>
        <v>0.63776470213450431</v>
      </c>
      <c r="D86" s="7" t="s">
        <v>7</v>
      </c>
      <c r="P86" s="7">
        <v>50</v>
      </c>
      <c r="Q86" s="7">
        <v>0.64545194981170084</v>
      </c>
      <c r="R86" s="7">
        <v>0.63776470213450431</v>
      </c>
    </row>
    <row r="87" spans="2:18" ht="15.75" customHeight="1">
      <c r="B87" s="7">
        <f t="shared" si="3"/>
        <v>2.4999999999999991</v>
      </c>
      <c r="C87" s="7">
        <f t="shared" si="4"/>
        <v>0.59847214410395722</v>
      </c>
      <c r="D87" s="7" t="s">
        <v>7</v>
      </c>
      <c r="P87" s="7">
        <v>51</v>
      </c>
      <c r="Q87" s="7">
        <v>0.6062366879898704</v>
      </c>
      <c r="R87" s="7">
        <v>0.59847214410395722</v>
      </c>
    </row>
    <row r="88" spans="2:18" ht="15.75" customHeight="1">
      <c r="B88" s="7">
        <f t="shared" si="3"/>
        <v>2.5499999999999989</v>
      </c>
      <c r="C88" s="7">
        <f t="shared" si="4"/>
        <v>0.55768371739141775</v>
      </c>
      <c r="D88" s="7" t="s">
        <v>7</v>
      </c>
      <c r="P88" s="7">
        <v>52</v>
      </c>
      <c r="Q88" s="7">
        <v>0.56539775275557957</v>
      </c>
      <c r="R88" s="7">
        <v>0.55768371739141775</v>
      </c>
    </row>
    <row r="89" spans="2:18" ht="15.75" customHeight="1">
      <c r="B89" s="7">
        <f t="shared" si="3"/>
        <v>2.5999999999999988</v>
      </c>
      <c r="C89" s="7">
        <f t="shared" si="4"/>
        <v>0.51550137182146527</v>
      </c>
      <c r="D89" s="7" t="s">
        <v>7</v>
      </c>
      <c r="P89" s="7">
        <v>53</v>
      </c>
      <c r="Q89" s="7">
        <v>0.52303881652570894</v>
      </c>
      <c r="R89" s="7">
        <v>0.51550137182146527</v>
      </c>
    </row>
    <row r="90" spans="2:18" ht="15.75" customHeight="1">
      <c r="B90" s="7">
        <f t="shared" si="3"/>
        <v>2.6499999999999986</v>
      </c>
      <c r="C90" s="7">
        <f t="shared" si="4"/>
        <v>0.47203054128988381</v>
      </c>
      <c r="D90" s="7" t="s">
        <v>7</v>
      </c>
      <c r="P90" s="7">
        <v>54</v>
      </c>
      <c r="Q90" s="7">
        <v>0.4792690545549334</v>
      </c>
      <c r="R90" s="7">
        <v>0.47203054128988381</v>
      </c>
    </row>
    <row r="91" spans="2:18" ht="15.75" customHeight="1">
      <c r="B91" s="7">
        <f t="shared" si="3"/>
        <v>2.6999999999999984</v>
      </c>
      <c r="C91" s="7">
        <f t="shared" si="4"/>
        <v>0.42737988023383139</v>
      </c>
      <c r="D91" s="7" t="s">
        <v>7</v>
      </c>
      <c r="P91" s="7">
        <v>55</v>
      </c>
      <c r="Q91" s="7">
        <v>0.43420281283570183</v>
      </c>
      <c r="R91" s="7">
        <v>0.42737988023383139</v>
      </c>
    </row>
    <row r="92" spans="2:18" ht="15.75" customHeight="1">
      <c r="B92" s="7">
        <f t="shared" si="3"/>
        <v>2.7499999999999982</v>
      </c>
      <c r="C92" s="7">
        <f t="shared" ref="C92:C155" si="5">SIN(B92)</f>
        <v>0.38166099205233334</v>
      </c>
      <c r="D92" s="7" t="s">
        <v>7</v>
      </c>
      <c r="P92" s="7">
        <v>56</v>
      </c>
      <c r="Q92" s="7">
        <v>0.38795923932590526</v>
      </c>
      <c r="R92" s="7">
        <v>0.38166099205233334</v>
      </c>
    </row>
    <row r="93" spans="2:18" ht="15.75" customHeight="1">
      <c r="B93" s="7">
        <f t="shared" si="3"/>
        <v>2.799999999999998</v>
      </c>
      <c r="C93" s="7">
        <f t="shared" si="5"/>
        <v>0.33498815015590677</v>
      </c>
      <c r="D93" s="7" t="s">
        <v>7</v>
      </c>
      <c r="P93" s="7">
        <v>57</v>
      </c>
      <c r="Q93" s="7">
        <v>0.34066188046942258</v>
      </c>
      <c r="R93" s="7">
        <v>0.33498815015590677</v>
      </c>
    </row>
    <row r="94" spans="2:18" ht="15.75" customHeight="1">
      <c r="B94" s="7">
        <f t="shared" si="3"/>
        <v>2.8499999999999979</v>
      </c>
      <c r="C94" s="7">
        <f t="shared" si="5"/>
        <v>0.28747801234254655</v>
      </c>
      <c r="D94" s="7" t="s">
        <v>7</v>
      </c>
      <c r="P94" s="7">
        <v>58</v>
      </c>
      <c r="Q94" s="7">
        <v>0.29243824539011243</v>
      </c>
      <c r="R94" s="7">
        <v>0.28747801234254655</v>
      </c>
    </row>
    <row r="95" spans="2:18" ht="15.75" customHeight="1">
      <c r="B95" s="7">
        <f t="shared" si="3"/>
        <v>2.8999999999999977</v>
      </c>
      <c r="C95" s="7">
        <f t="shared" si="5"/>
        <v>0.23924932921398456</v>
      </c>
      <c r="D95" s="7" t="s">
        <v>7</v>
      </c>
      <c r="P95" s="7">
        <v>59</v>
      </c>
      <c r="Q95" s="7">
        <v>0.24341934053554581</v>
      </c>
      <c r="R95" s="7">
        <v>0.23924932921398456</v>
      </c>
    </row>
    <row r="96" spans="2:18" ht="15.75" customHeight="1">
      <c r="B96" s="7">
        <f t="shared" si="3"/>
        <v>2.9499999999999975</v>
      </c>
      <c r="C96" s="7">
        <f t="shared" si="5"/>
        <v>0.19042264736102968</v>
      </c>
      <c r="D96" s="7" t="s">
        <v>7</v>
      </c>
      <c r="P96" s="7">
        <v>60</v>
      </c>
      <c r="Q96" s="7">
        <v>0.19373917791574868</v>
      </c>
      <c r="R96" s="7">
        <v>0.19042264736102968</v>
      </c>
    </row>
    <row r="97" spans="2:18" ht="15.75" customHeight="1">
      <c r="B97" s="7">
        <f t="shared" si="3"/>
        <v>2.9999999999999973</v>
      </c>
      <c r="C97" s="7">
        <f t="shared" si="5"/>
        <v>0.14112000805986985</v>
      </c>
      <c r="D97" s="7" t="s">
        <v>7</v>
      </c>
      <c r="P97" s="7">
        <v>61</v>
      </c>
      <c r="Q97" s="7">
        <v>0.14353426041800077</v>
      </c>
      <c r="R97" s="7">
        <v>0.14112000805986985</v>
      </c>
    </row>
    <row r="98" spans="2:18" ht="15.75" customHeight="1">
      <c r="B98" s="7">
        <f t="shared" si="3"/>
        <v>3.0499999999999972</v>
      </c>
      <c r="C98" s="7">
        <f t="shared" si="5"/>
        <v>9.1464642232439844E-2</v>
      </c>
      <c r="D98" s="7" t="s">
        <v>7</v>
      </c>
      <c r="P98" s="7">
        <v>62</v>
      </c>
      <c r="Q98" s="7">
        <v>9.2943047973879089E-2</v>
      </c>
      <c r="R98" s="7">
        <v>9.1464642232439844E-2</v>
      </c>
    </row>
    <row r="99" spans="2:18" ht="15.75" customHeight="1">
      <c r="B99" s="7">
        <f t="shared" si="3"/>
        <v>3.099999999999997</v>
      </c>
      <c r="C99" s="7">
        <f t="shared" si="5"/>
        <v>4.15806624332936E-2</v>
      </c>
      <c r="D99" s="7" t="s">
        <v>7</v>
      </c>
      <c r="P99" s="7">
        <v>63</v>
      </c>
      <c r="Q99" s="7">
        <v>4.2105408604744099E-2</v>
      </c>
      <c r="R99" s="7">
        <v>4.15806624332936E-2</v>
      </c>
    </row>
    <row r="100" spans="2:18" ht="15.75" customHeight="1">
      <c r="B100" s="7">
        <f t="shared" si="3"/>
        <v>3.1499999999999968</v>
      </c>
      <c r="C100" s="7">
        <f t="shared" si="5"/>
        <v>-8.4072473671455098E-3</v>
      </c>
      <c r="D100" s="7" t="s">
        <v>7</v>
      </c>
      <c r="P100" s="7">
        <v>64</v>
      </c>
      <c r="Q100" s="7">
        <v>-8.8379414292134584E-3</v>
      </c>
      <c r="R100" s="7">
        <v>-8.4072473671455098E-3</v>
      </c>
    </row>
    <row r="101" spans="2:18" ht="15.75" customHeight="1">
      <c r="B101" s="7">
        <f t="shared" si="3"/>
        <v>3.1999999999999966</v>
      </c>
      <c r="C101" s="7">
        <f t="shared" si="5"/>
        <v>-5.837414342757654E-2</v>
      </c>
      <c r="D101" s="7" t="s">
        <v>7</v>
      </c>
      <c r="P101" s="7">
        <v>65</v>
      </c>
      <c r="Q101" s="7">
        <v>-5.9746004006964171E-2</v>
      </c>
      <c r="R101" s="7">
        <v>-5.837414342757654E-2</v>
      </c>
    </row>
    <row r="102" spans="2:18" ht="15.75" customHeight="1">
      <c r="B102" s="7">
        <f t="shared" ref="B102:B163" si="6">B101+0.05</f>
        <v>3.2499999999999964</v>
      </c>
      <c r="C102" s="7">
        <f t="shared" si="5"/>
        <v>-0.10819513453010485</v>
      </c>
      <c r="D102" s="7" t="s">
        <v>7</v>
      </c>
      <c r="P102" s="7">
        <v>66</v>
      </c>
      <c r="Q102" s="7">
        <v>-0.11047806759548884</v>
      </c>
      <c r="R102" s="7">
        <v>-0.10819513453010485</v>
      </c>
    </row>
    <row r="103" spans="2:18" ht="15.75" customHeight="1">
      <c r="B103" s="7">
        <f t="shared" si="6"/>
        <v>3.2999999999999963</v>
      </c>
      <c r="C103" s="7">
        <f t="shared" si="5"/>
        <v>-0.15774569414324469</v>
      </c>
      <c r="D103" s="7" t="s">
        <v>7</v>
      </c>
      <c r="P103" s="7">
        <v>67</v>
      </c>
      <c r="Q103" s="7">
        <v>-0.16089427328590311</v>
      </c>
      <c r="R103" s="7">
        <v>-0.15774569414324469</v>
      </c>
    </row>
    <row r="104" spans="2:18" ht="15.75" customHeight="1">
      <c r="B104" s="7">
        <f t="shared" si="6"/>
        <v>3.3499999999999961</v>
      </c>
      <c r="C104" s="7">
        <f t="shared" si="5"/>
        <v>-0.20690197167339586</v>
      </c>
      <c r="D104" s="7" t="s">
        <v>7</v>
      </c>
      <c r="P104" s="7">
        <v>68</v>
      </c>
      <c r="Q104" s="7">
        <v>-0.2108561739658068</v>
      </c>
      <c r="R104" s="7">
        <v>-0.20690197167339586</v>
      </c>
    </row>
    <row r="105" spans="2:18" ht="15.75" customHeight="1">
      <c r="B105" s="7">
        <f t="shared" si="6"/>
        <v>3.3999999999999959</v>
      </c>
      <c r="C105" s="7">
        <f t="shared" si="5"/>
        <v>-0.25554110202682739</v>
      </c>
      <c r="D105" s="7" t="s">
        <v>7</v>
      </c>
      <c r="P105" s="7">
        <v>69</v>
      </c>
      <c r="Q105" s="7">
        <v>-0.26022728226875103</v>
      </c>
      <c r="R105" s="7">
        <v>-0.25554110202682739</v>
      </c>
    </row>
    <row r="106" spans="2:18" ht="15.75" customHeight="1">
      <c r="B106" s="7">
        <f t="shared" si="6"/>
        <v>3.4499999999999957</v>
      </c>
      <c r="C106" s="7">
        <f t="shared" si="5"/>
        <v>-0.30354151270842511</v>
      </c>
      <c r="D106" s="7" t="s">
        <v>7</v>
      </c>
      <c r="P106" s="7">
        <v>70</v>
      </c>
      <c r="Q106" s="7">
        <v>-0.30887360309066025</v>
      </c>
      <c r="R106" s="7">
        <v>-0.30354151270842511</v>
      </c>
    </row>
    <row r="107" spans="2:18" ht="15.75" customHeight="1">
      <c r="B107" s="7">
        <f t="shared" si="6"/>
        <v>3.4999999999999956</v>
      </c>
      <c r="C107" s="7">
        <f t="shared" si="5"/>
        <v>-0.35078322768961567</v>
      </c>
      <c r="D107" s="7" t="s">
        <v>7</v>
      </c>
      <c r="P107" s="7">
        <v>71</v>
      </c>
      <c r="Q107" s="7">
        <v>-0.35666414666673951</v>
      </c>
      <c r="R107" s="7">
        <v>-0.35078322768961567</v>
      </c>
    </row>
    <row r="108" spans="2:18" ht="15.75" customHeight="1">
      <c r="B108" s="7">
        <f t="shared" si="6"/>
        <v>3.5499999999999954</v>
      </c>
      <c r="C108" s="7">
        <f t="shared" si="5"/>
        <v>-0.3971481672859557</v>
      </c>
      <c r="D108" s="7" t="s">
        <v>7</v>
      </c>
      <c r="P108" s="7">
        <v>72</v>
      </c>
      <c r="Q108" s="7">
        <v>-0.40347141845632351</v>
      </c>
      <c r="R108" s="7">
        <v>-0.3971481672859557</v>
      </c>
    </row>
    <row r="109" spans="2:18" ht="15.75" customHeight="1">
      <c r="B109" s="7">
        <f t="shared" si="6"/>
        <v>3.5999999999999952</v>
      </c>
      <c r="C109" s="7">
        <f t="shared" si="5"/>
        <v>-0.44252044329484808</v>
      </c>
      <c r="D109" s="7" t="s">
        <v>7</v>
      </c>
      <c r="P109" s="7">
        <v>73</v>
      </c>
      <c r="Q109" s="7">
        <v>-0.44917188238208716</v>
      </c>
      <c r="R109" s="7">
        <v>-0.44252044329484808</v>
      </c>
    </row>
    <row r="110" spans="2:18" ht="15.75" customHeight="1">
      <c r="B110" s="7">
        <f t="shared" si="6"/>
        <v>3.649999999999995</v>
      </c>
      <c r="C110" s="7">
        <f t="shared" si="5"/>
        <v>-0.48678664865569515</v>
      </c>
      <c r="D110" s="7" t="s">
        <v>7</v>
      </c>
      <c r="P110" s="7">
        <v>74</v>
      </c>
      <c r="Q110" s="7">
        <v>-0.49364639430885227</v>
      </c>
      <c r="R110" s="7">
        <v>-0.48678664865569515</v>
      </c>
    </row>
    <row r="111" spans="2:18" ht="15.75" customHeight="1">
      <c r="B111" s="7">
        <f t="shared" si="6"/>
        <v>3.6999999999999948</v>
      </c>
      <c r="C111" s="7">
        <f t="shared" si="5"/>
        <v>-0.52983614090848885</v>
      </c>
      <c r="D111" s="7" t="s">
        <v>7</v>
      </c>
      <c r="P111" s="7">
        <v>75</v>
      </c>
      <c r="Q111" s="7">
        <v>-0.53678060301870012</v>
      </c>
      <c r="R111" s="7">
        <v>-0.52983614090848885</v>
      </c>
    </row>
    <row r="112" spans="2:18" ht="15.75" customHeight="1">
      <c r="B112" s="7">
        <f t="shared" si="6"/>
        <v>3.7499999999999947</v>
      </c>
      <c r="C112" s="7">
        <f t="shared" si="5"/>
        <v>-0.5715613187423394</v>
      </c>
      <c r="D112" s="7" t="s">
        <v>7</v>
      </c>
      <c r="P112" s="7">
        <v>76</v>
      </c>
      <c r="Q112" s="7">
        <v>-0.57846531633684251</v>
      </c>
      <c r="R112" s="7">
        <v>-0.5715613187423394</v>
      </c>
    </row>
    <row r="113" spans="2:18" ht="15.75" customHeight="1">
      <c r="B113" s="7">
        <f t="shared" si="6"/>
        <v>3.7999999999999945</v>
      </c>
      <c r="C113" s="7">
        <f t="shared" si="5"/>
        <v>-0.6118578909427147</v>
      </c>
      <c r="D113" s="7" t="s">
        <v>7</v>
      </c>
      <c r="P113" s="7">
        <v>77</v>
      </c>
      <c r="Q113" s="7">
        <v>-0.61859683047916469</v>
      </c>
      <c r="R113" s="7">
        <v>-0.6118578909427147</v>
      </c>
    </row>
    <row r="114" spans="2:18" ht="15.75" customHeight="1">
      <c r="B114" s="7">
        <f t="shared" si="6"/>
        <v>3.8499999999999943</v>
      </c>
      <c r="C114" s="7">
        <f t="shared" si="5"/>
        <v>-0.65062513706516301</v>
      </c>
      <c r="D114" s="7" t="s">
        <v>7</v>
      </c>
      <c r="P114" s="7">
        <v>78</v>
      </c>
      <c r="Q114" s="7">
        <v>-0.65707722112007971</v>
      </c>
      <c r="R114" s="7">
        <v>-0.65062513706516301</v>
      </c>
    </row>
    <row r="115" spans="2:18" ht="15.75" customHeight="1">
      <c r="B115" s="7">
        <f t="shared" si="6"/>
        <v>3.8999999999999941</v>
      </c>
      <c r="C115" s="7">
        <f t="shared" si="5"/>
        <v>-0.68776615918396955</v>
      </c>
      <c r="D115" s="7" t="s">
        <v>7</v>
      </c>
      <c r="P115" s="7">
        <v>79</v>
      </c>
      <c r="Q115" s="7">
        <v>-0.69381459511144961</v>
      </c>
      <c r="R115" s="7">
        <v>-0.68776615918396955</v>
      </c>
    </row>
    <row r="116" spans="2:18" ht="15.75" customHeight="1">
      <c r="B116" s="7">
        <f t="shared" si="6"/>
        <v>3.949999999999994</v>
      </c>
      <c r="C116" s="7">
        <f t="shared" si="5"/>
        <v>-0.72318812408650779</v>
      </c>
      <c r="D116" s="7" t="s">
        <v>7</v>
      </c>
      <c r="P116" s="7">
        <v>80</v>
      </c>
      <c r="Q116" s="7">
        <v>-0.72872330221218284</v>
      </c>
      <c r="R116" s="7">
        <v>-0.72318812408650779</v>
      </c>
    </row>
    <row r="117" spans="2:18" ht="15.75" customHeight="1">
      <c r="B117" s="7">
        <f t="shared" si="6"/>
        <v>3.9999999999999938</v>
      </c>
      <c r="C117" s="7">
        <f t="shared" si="5"/>
        <v>-0.75680249530792421</v>
      </c>
      <c r="D117" s="7" t="s">
        <v>7</v>
      </c>
      <c r="P117" s="7">
        <v>81</v>
      </c>
      <c r="Q117" s="7">
        <v>-0.76172410660721823</v>
      </c>
      <c r="R117" s="7">
        <v>-0.75680249530792421</v>
      </c>
    </row>
    <row r="118" spans="2:18" ht="15.75" customHeight="1">
      <c r="B118" s="7">
        <f t="shared" si="6"/>
        <v>4.0499999999999936</v>
      </c>
      <c r="C118" s="7">
        <f t="shared" si="5"/>
        <v>-0.78852525442619115</v>
      </c>
      <c r="D118" s="7" t="s">
        <v>7</v>
      </c>
      <c r="P118" s="7">
        <v>82</v>
      </c>
      <c r="Q118" s="7">
        <v>-0.79274431839735726</v>
      </c>
      <c r="R118" s="7">
        <v>-0.78852525442619115</v>
      </c>
    </row>
    <row r="119" spans="2:18" ht="15.75" customHeight="1">
      <c r="B119" s="7">
        <f t="shared" si="6"/>
        <v>4.0999999999999934</v>
      </c>
      <c r="C119" s="7">
        <f t="shared" si="5"/>
        <v>-0.8182771110644067</v>
      </c>
      <c r="D119" s="7" t="s">
        <v>7</v>
      </c>
      <c r="P119" s="7">
        <v>83</v>
      </c>
      <c r="Q119" s="7">
        <v>-0.82171788562227199</v>
      </c>
      <c r="R119" s="7">
        <v>-0.8182771110644067</v>
      </c>
    </row>
    <row r="120" spans="2:18" ht="15.75" customHeight="1">
      <c r="B120" s="7">
        <f t="shared" si="6"/>
        <v>4.1499999999999932</v>
      </c>
      <c r="C120" s="7">
        <f t="shared" si="5"/>
        <v>-0.84598370107544274</v>
      </c>
      <c r="D120" s="7" t="s">
        <v>7</v>
      </c>
      <c r="P120" s="7">
        <v>84</v>
      </c>
      <c r="Q120" s="7">
        <v>-0.84858544773153888</v>
      </c>
      <c r="R120" s="7">
        <v>-0.84598370107544274</v>
      </c>
    </row>
    <row r="121" spans="2:18" ht="15.75" customHeight="1">
      <c r="B121" s="7">
        <f t="shared" si="6"/>
        <v>4.1999999999999931</v>
      </c>
      <c r="C121" s="7">
        <f t="shared" si="5"/>
        <v>-0.87157577241358464</v>
      </c>
      <c r="D121" s="7" t="s">
        <v>7</v>
      </c>
      <c r="P121" s="7">
        <v>85</v>
      </c>
      <c r="Q121" s="7">
        <v>-0.87329435173813863</v>
      </c>
      <c r="R121" s="7">
        <v>-0.87157577241358464</v>
      </c>
    </row>
    <row r="122" spans="2:18" ht="15.75" customHeight="1">
      <c r="B122" s="7">
        <f t="shared" si="6"/>
        <v>4.2499999999999929</v>
      </c>
      <c r="C122" s="7">
        <f t="shared" si="5"/>
        <v>-0.89498935822858039</v>
      </c>
      <c r="D122" s="7" t="s">
        <v>7</v>
      </c>
      <c r="P122" s="7">
        <v>86</v>
      </c>
      <c r="Q122" s="7">
        <v>-0.89579863256850345</v>
      </c>
      <c r="R122" s="7">
        <v>-0.89498935822858039</v>
      </c>
    </row>
    <row r="123" spans="2:18" ht="15.75" customHeight="1">
      <c r="B123" s="7">
        <f t="shared" si="6"/>
        <v>4.2999999999999927</v>
      </c>
      <c r="C123" s="7">
        <f t="shared" si="5"/>
        <v>-0.91616593674945201</v>
      </c>
      <c r="D123" s="7" t="s">
        <v>7</v>
      </c>
      <c r="P123" s="7">
        <v>87</v>
      </c>
      <c r="Q123" s="7">
        <v>-0.9160589593557944</v>
      </c>
      <c r="R123" s="7">
        <v>-0.91616593674945201</v>
      </c>
    </row>
    <row r="124" spans="2:18" ht="15.75" customHeight="1">
      <c r="B124" s="7">
        <f t="shared" si="6"/>
        <v>4.3499999999999925</v>
      </c>
      <c r="C124" s="7">
        <f t="shared" si="5"/>
        <v>-0.93505257755844651</v>
      </c>
      <c r="D124" s="7" t="s">
        <v>7</v>
      </c>
      <c r="P124" s="7">
        <v>88</v>
      </c>
      <c r="Q124" s="7">
        <v>-0.93404254959674127</v>
      </c>
      <c r="R124" s="7">
        <v>-0.93505257755844651</v>
      </c>
    </row>
    <row r="125" spans="2:18" ht="15.75" customHeight="1">
      <c r="B125" s="7">
        <f t="shared" si="6"/>
        <v>4.3999999999999924</v>
      </c>
      <c r="C125" s="7">
        <f t="shared" si="5"/>
        <v>-0.95160207388951357</v>
      </c>
      <c r="D125" s="7" t="s">
        <v>7</v>
      </c>
      <c r="P125" s="7">
        <v>89</v>
      </c>
      <c r="Q125" s="7">
        <v>-0.94972305318767525</v>
      </c>
      <c r="R125" s="7">
        <v>-0.95160207388951357</v>
      </c>
    </row>
    <row r="126" spans="2:18" ht="15.75" customHeight="1">
      <c r="B126" s="7">
        <f t="shared" si="6"/>
        <v>4.4499999999999922</v>
      </c>
      <c r="C126" s="7">
        <f t="shared" si="5"/>
        <v>-0.96577306062063673</v>
      </c>
      <c r="D126" s="7" t="s">
        <v>7</v>
      </c>
      <c r="P126" s="7">
        <v>90</v>
      </c>
      <c r="Q126" s="7">
        <v>-0.96308040833790365</v>
      </c>
      <c r="R126" s="7">
        <v>-0.96577306062063673</v>
      </c>
    </row>
    <row r="127" spans="2:18" ht="15.75" customHeight="1">
      <c r="B127" s="7">
        <f t="shared" si="6"/>
        <v>4.499999999999992</v>
      </c>
      <c r="C127" s="7">
        <f t="shared" si="5"/>
        <v>-0.97753011766509534</v>
      </c>
      <c r="D127" s="7" t="s">
        <v>7</v>
      </c>
      <c r="P127" s="7">
        <v>91</v>
      </c>
      <c r="Q127" s="7">
        <v>-0.97410067116452481</v>
      </c>
      <c r="R127" s="7">
        <v>-0.97753011766509534</v>
      </c>
    </row>
    <row r="128" spans="2:18" ht="15.75" customHeight="1">
      <c r="B128" s="7">
        <f t="shared" si="6"/>
        <v>4.5499999999999918</v>
      </c>
      <c r="C128" s="7">
        <f t="shared" si="5"/>
        <v>-0.9868438585032353</v>
      </c>
      <c r="D128" s="7" t="s">
        <v>7</v>
      </c>
      <c r="P128" s="7">
        <v>92</v>
      </c>
      <c r="Q128" s="7">
        <v>-0.98277582028346089</v>
      </c>
      <c r="R128" s="7">
        <v>-0.9868438585032353</v>
      </c>
    </row>
    <row r="129" spans="2:18" ht="15.75" customHeight="1">
      <c r="B129" s="7">
        <f t="shared" si="6"/>
        <v>4.5999999999999917</v>
      </c>
      <c r="C129" s="7">
        <f t="shared" si="5"/>
        <v>-0.99369100363346352</v>
      </c>
      <c r="D129" s="7" t="s">
        <v>7</v>
      </c>
      <c r="P129" s="7">
        <v>93</v>
      </c>
      <c r="Q129" s="7">
        <v>-0.98910353670697582</v>
      </c>
      <c r="R129" s="7">
        <v>-0.99369100363346352</v>
      </c>
    </row>
    <row r="130" spans="2:18" ht="15.75" customHeight="1">
      <c r="B130" s="7">
        <f t="shared" si="6"/>
        <v>4.6499999999999915</v>
      </c>
      <c r="C130" s="7">
        <f t="shared" si="5"/>
        <v>-0.99805443875887889</v>
      </c>
      <c r="D130" s="7" t="s">
        <v>7</v>
      </c>
      <c r="P130" s="7">
        <v>94</v>
      </c>
      <c r="Q130" s="7">
        <v>-0.99308695742627862</v>
      </c>
      <c r="R130" s="7">
        <v>-0.99805443875887889</v>
      </c>
    </row>
    <row r="131" spans="2:18" ht="15.75" customHeight="1">
      <c r="B131" s="7">
        <f t="shared" si="6"/>
        <v>4.6999999999999913</v>
      </c>
      <c r="C131" s="7">
        <f t="shared" si="5"/>
        <v>-0.99992325756410083</v>
      </c>
      <c r="D131" s="7" t="s">
        <v>7</v>
      </c>
      <c r="P131" s="7">
        <v>95</v>
      </c>
      <c r="Q131" s="7">
        <v>-0.99473439743490388</v>
      </c>
      <c r="R131" s="7">
        <v>-0.99992325756410083</v>
      </c>
    </row>
    <row r="132" spans="2:18" ht="15.75" customHeight="1">
      <c r="B132" s="7">
        <f t="shared" si="6"/>
        <v>4.7499999999999911</v>
      </c>
      <c r="C132" s="7">
        <f t="shared" si="5"/>
        <v>-0.99929278897537832</v>
      </c>
      <c r="D132" s="7" t="s">
        <v>7</v>
      </c>
      <c r="P132" s="7">
        <v>96</v>
      </c>
      <c r="Q132" s="7">
        <v>-0.9940590282122681</v>
      </c>
      <c r="R132" s="7">
        <v>-0.99929278897537832</v>
      </c>
    </row>
    <row r="133" spans="2:18" ht="15.75" customHeight="1">
      <c r="B133" s="7">
        <f t="shared" si="6"/>
        <v>4.7999999999999909</v>
      </c>
      <c r="C133" s="7">
        <f t="shared" si="5"/>
        <v>-0.99616460883584146</v>
      </c>
      <c r="D133" s="7" t="s">
        <v>7</v>
      </c>
      <c r="P133" s="7">
        <v>97</v>
      </c>
      <c r="Q133" s="7">
        <v>-0.99107848820292155</v>
      </c>
      <c r="R133" s="7">
        <v>-0.99616460883584146</v>
      </c>
    </row>
    <row r="134" spans="2:18" ht="15.75" customHeight="1">
      <c r="B134" s="7">
        <f t="shared" si="6"/>
        <v>4.8499999999999908</v>
      </c>
      <c r="C134" s="7">
        <f t="shared" si="5"/>
        <v>-0.99054653596671449</v>
      </c>
      <c r="D134" s="7" t="s">
        <v>7</v>
      </c>
      <c r="P134" s="7">
        <v>98</v>
      </c>
      <c r="Q134" s="7">
        <v>-0.98581437772938507</v>
      </c>
      <c r="R134" s="7">
        <v>-0.99054653596671449</v>
      </c>
    </row>
    <row r="135" spans="2:18" ht="15.75" customHeight="1">
      <c r="B135" s="7">
        <f t="shared" si="6"/>
        <v>4.8999999999999906</v>
      </c>
      <c r="C135" s="7">
        <f t="shared" si="5"/>
        <v>-0.98245261262433425</v>
      </c>
      <c r="D135" s="7" t="s">
        <v>7</v>
      </c>
      <c r="P135" s="7">
        <v>99</v>
      </c>
      <c r="Q135" s="7">
        <v>-0.97829154813729602</v>
      </c>
      <c r="R135" s="7">
        <v>-0.98245261262433425</v>
      </c>
    </row>
    <row r="136" spans="2:18" ht="15.75" customHeight="1">
      <c r="B136" s="7">
        <f t="shared" si="6"/>
        <v>4.9499999999999904</v>
      </c>
      <c r="C136" s="7">
        <f t="shared" si="5"/>
        <v>-0.97190306940182303</v>
      </c>
      <c r="D136" s="7" t="s">
        <v>7</v>
      </c>
      <c r="P136" s="7">
        <v>100</v>
      </c>
      <c r="Q136" s="7">
        <v>-0.9685370166102576</v>
      </c>
      <c r="R136" s="7">
        <v>-0.97190306940182303</v>
      </c>
    </row>
    <row r="137" spans="2:18" ht="15.75" customHeight="1">
      <c r="B137" s="7">
        <f t="shared" si="6"/>
        <v>4.9999999999999902</v>
      </c>
      <c r="C137" s="7">
        <f t="shared" si="5"/>
        <v>-0.95892427466314123</v>
      </c>
      <c r="D137" s="7" t="s">
        <v>7</v>
      </c>
      <c r="P137" s="7">
        <v>101</v>
      </c>
      <c r="Q137" s="7">
        <v>-0.95657819536718058</v>
      </c>
      <c r="R137" s="7">
        <v>-0.95892427466314123</v>
      </c>
    </row>
    <row r="138" spans="2:18" ht="15.75" customHeight="1">
      <c r="B138" s="7">
        <f t="shared" si="6"/>
        <v>5.0499999999999901</v>
      </c>
      <c r="C138" s="7">
        <f t="shared" si="5"/>
        <v>-0.9435486686359098</v>
      </c>
      <c r="D138" s="7" t="s">
        <v>7</v>
      </c>
      <c r="P138" s="7">
        <v>102</v>
      </c>
      <c r="Q138" s="7">
        <v>-0.94243986856836592</v>
      </c>
      <c r="R138" s="7">
        <v>-0.9435486686359098</v>
      </c>
    </row>
    <row r="139" spans="2:18" ht="15.75" customHeight="1">
      <c r="B139" s="7">
        <f t="shared" si="6"/>
        <v>5.0999999999999899</v>
      </c>
      <c r="C139" s="7">
        <f t="shared" si="5"/>
        <v>-0.92581468232773612</v>
      </c>
      <c r="D139" s="7" t="s">
        <v>7</v>
      </c>
      <c r="P139" s="7">
        <v>103</v>
      </c>
      <c r="Q139" s="7">
        <v>-0.92613890920977937</v>
      </c>
      <c r="R139" s="7">
        <v>-0.92581468232773612</v>
      </c>
    </row>
    <row r="140" spans="2:18" ht="15.75" customHeight="1">
      <c r="B140" s="7">
        <f t="shared" si="6"/>
        <v>5.1499999999999897</v>
      </c>
      <c r="C140" s="7">
        <f t="shared" si="5"/>
        <v>-0.905766641468709</v>
      </c>
      <c r="D140" s="7" t="s">
        <v>7</v>
      </c>
      <c r="P140" s="7">
        <v>104</v>
      </c>
      <c r="Q140" s="7">
        <v>-0.90767502194538174</v>
      </c>
      <c r="R140" s="7">
        <v>-0.905766641468709</v>
      </c>
    </row>
    <row r="141" spans="2:18" ht="15.75" customHeight="1">
      <c r="B141" s="7">
        <f t="shared" si="6"/>
        <v>5.1999999999999895</v>
      </c>
      <c r="C141" s="7">
        <f t="shared" si="5"/>
        <v>-0.88345465572015813</v>
      </c>
      <c r="D141" s="7" t="s">
        <v>7</v>
      </c>
      <c r="P141" s="7">
        <v>105</v>
      </c>
      <c r="Q141" s="7">
        <v>-0.88701485944114644</v>
      </c>
      <c r="R141" s="7">
        <v>-0.88345465572015813</v>
      </c>
    </row>
    <row r="142" spans="2:18" ht="15.75" customHeight="1">
      <c r="B142" s="7">
        <f t="shared" si="6"/>
        <v>5.2499999999999893</v>
      </c>
      <c r="C142" s="7">
        <f t="shared" si="5"/>
        <v>-0.85893449342659745</v>
      </c>
      <c r="D142" s="7" t="s">
        <v>7</v>
      </c>
      <c r="P142" s="7">
        <v>106</v>
      </c>
      <c r="Q142" s="7">
        <v>-0.86406630224406555</v>
      </c>
      <c r="R142" s="7">
        <v>-0.85893449342659745</v>
      </c>
    </row>
    <row r="143" spans="2:18" ht="15.75" customHeight="1">
      <c r="B143" s="7">
        <f t="shared" si="6"/>
        <v>5.2999999999999892</v>
      </c>
      <c r="C143" s="7">
        <f t="shared" si="5"/>
        <v>-0.83226744222390714</v>
      </c>
      <c r="D143" s="7" t="s">
        <v>7</v>
      </c>
      <c r="P143" s="7">
        <v>107</v>
      </c>
      <c r="Q143" s="7">
        <v>-0.83864211909404496</v>
      </c>
      <c r="R143" s="7">
        <v>-0.83226744222390714</v>
      </c>
    </row>
    <row r="144" spans="2:18" ht="15.75" customHeight="1">
      <c r="B144" s="7">
        <f t="shared" si="6"/>
        <v>5.349999999999989</v>
      </c>
      <c r="C144" s="7">
        <f t="shared" si="5"/>
        <v>-0.80352015585216219</v>
      </c>
      <c r="D144" s="7" t="s">
        <v>7</v>
      </c>
      <c r="P144" s="7">
        <v>108</v>
      </c>
      <c r="Q144" s="7">
        <v>-0.8104252353080188</v>
      </c>
      <c r="R144" s="7">
        <v>-0.80352015585216219</v>
      </c>
    </row>
    <row r="145" spans="2:18" ht="15.75" customHeight="1">
      <c r="B145" s="7">
        <f t="shared" si="6"/>
        <v>5.3999999999999888</v>
      </c>
      <c r="C145" s="7">
        <f t="shared" si="5"/>
        <v>-0.77276448755599447</v>
      </c>
      <c r="D145" s="7" t="s">
        <v>7</v>
      </c>
      <c r="P145" s="7">
        <v>109</v>
      </c>
      <c r="Q145" s="7">
        <v>-0.77898508320783222</v>
      </c>
      <c r="R145" s="7">
        <v>-0.77276448755599447</v>
      </c>
    </row>
    <row r="146" spans="2:18" ht="15.75" customHeight="1">
      <c r="B146" s="7">
        <f t="shared" si="6"/>
        <v>5.4499999999999886</v>
      </c>
      <c r="C146" s="7">
        <f t="shared" si="5"/>
        <v>-0.74007731048890213</v>
      </c>
      <c r="D146" s="7" t="s">
        <v>7</v>
      </c>
      <c r="P146" s="7">
        <v>110</v>
      </c>
      <c r="Q146" s="7">
        <v>-0.74395143402044539</v>
      </c>
      <c r="R146" s="7">
        <v>-0.74007731048890213</v>
      </c>
    </row>
    <row r="147" spans="2:18" ht="15.75" customHeight="1">
      <c r="B147" s="7">
        <f t="shared" si="6"/>
        <v>5.4999999999999885</v>
      </c>
      <c r="C147" s="7">
        <f t="shared" si="5"/>
        <v>-0.70554032557040014</v>
      </c>
      <c r="D147" s="7" t="s">
        <v>7</v>
      </c>
      <c r="P147" s="7">
        <v>111</v>
      </c>
      <c r="Q147" s="7">
        <v>-0.70541756664742827</v>
      </c>
      <c r="R147" s="7">
        <v>-0.70554032557040014</v>
      </c>
    </row>
    <row r="148" spans="2:18" ht="15.75" customHeight="1">
      <c r="B148" s="7">
        <f t="shared" si="6"/>
        <v>5.5499999999999883</v>
      </c>
      <c r="C148" s="7">
        <f t="shared" si="5"/>
        <v>-0.66923985727627056</v>
      </c>
      <c r="D148" s="7" t="s">
        <v>7</v>
      </c>
      <c r="P148" s="7">
        <v>112</v>
      </c>
      <c r="Q148" s="7">
        <v>-0.66430871051771234</v>
      </c>
      <c r="R148" s="7">
        <v>-0.66923985727627056</v>
      </c>
    </row>
    <row r="149" spans="2:18" ht="15.75" customHeight="1">
      <c r="B149" s="7">
        <f t="shared" si="6"/>
        <v>5.5999999999999881</v>
      </c>
      <c r="C149" s="7">
        <f t="shared" si="5"/>
        <v>-0.6312666378723305</v>
      </c>
      <c r="D149" s="7" t="s">
        <v>7</v>
      </c>
      <c r="P149" s="7">
        <v>113</v>
      </c>
      <c r="Q149" s="7">
        <v>-0.62211279641769757</v>
      </c>
      <c r="R149" s="7">
        <v>-0.6312666378723305</v>
      </c>
    </row>
    <row r="150" spans="2:18" ht="15.75" customHeight="1">
      <c r="B150" s="7">
        <f t="shared" si="6"/>
        <v>5.6499999999999879</v>
      </c>
      <c r="C150" s="7">
        <f t="shared" si="5"/>
        <v>-0.59171558063101937</v>
      </c>
      <c r="D150" s="7" t="s">
        <v>7</v>
      </c>
      <c r="P150" s="7">
        <v>114</v>
      </c>
      <c r="Q150" s="7">
        <v>-0.58000307172228105</v>
      </c>
      <c r="R150" s="7">
        <v>-0.59171558063101937</v>
      </c>
    </row>
    <row r="151" spans="2:18" ht="15.75" customHeight="1">
      <c r="B151" s="7">
        <f t="shared" si="6"/>
        <v>5.6999999999999877</v>
      </c>
      <c r="C151" s="7">
        <f t="shared" si="5"/>
        <v>-0.55068554259764801</v>
      </c>
      <c r="D151" s="7" t="s">
        <v>7</v>
      </c>
      <c r="P151" s="7">
        <v>115</v>
      </c>
      <c r="Q151" s="7">
        <v>-0.53831486026686548</v>
      </c>
      <c r="R151" s="7">
        <v>-0.55068554259764801</v>
      </c>
    </row>
    <row r="152" spans="2:18" ht="15.75" customHeight="1">
      <c r="B152" s="7">
        <f t="shared" si="6"/>
        <v>5.7499999999999876</v>
      </c>
      <c r="C152" s="7">
        <f t="shared" si="5"/>
        <v>-0.50827907749926904</v>
      </c>
      <c r="D152" s="7" t="s">
        <v>7</v>
      </c>
      <c r="P152" s="7">
        <v>116</v>
      </c>
      <c r="Q152" s="7">
        <v>-0.49677482621673263</v>
      </c>
      <c r="R152" s="7">
        <v>-0.50827907749926904</v>
      </c>
    </row>
    <row r="153" spans="2:18" ht="15.75" customHeight="1">
      <c r="B153" s="7">
        <f t="shared" si="6"/>
        <v>5.7999999999999874</v>
      </c>
      <c r="C153" s="7">
        <f t="shared" si="5"/>
        <v>-0.46460217941376836</v>
      </c>
      <c r="D153" s="7" t="s">
        <v>7</v>
      </c>
      <c r="P153" s="7">
        <v>117</v>
      </c>
      <c r="Q153" s="7">
        <v>-0.45494616262520893</v>
      </c>
      <c r="R153" s="7">
        <v>-0.46460217941376836</v>
      </c>
    </row>
    <row r="154" spans="2:18" ht="15.75" customHeight="1">
      <c r="B154" s="7">
        <f t="shared" si="6"/>
        <v>5.8499999999999872</v>
      </c>
      <c r="C154" s="7">
        <f t="shared" si="5"/>
        <v>-0.41976401783987094</v>
      </c>
      <c r="D154" s="7" t="s">
        <v>7</v>
      </c>
      <c r="P154" s="7">
        <v>118</v>
      </c>
      <c r="Q154" s="7">
        <v>-0.41247529252606974</v>
      </c>
      <c r="R154" s="7">
        <v>-0.41976401783987094</v>
      </c>
    </row>
    <row r="155" spans="2:18" ht="15.75" customHeight="1">
      <c r="B155" s="7">
        <f t="shared" si="6"/>
        <v>5.899999999999987</v>
      </c>
      <c r="C155" s="7">
        <f t="shared" si="5"/>
        <v>-0.3738766648302484</v>
      </c>
      <c r="D155" s="7" t="s">
        <v>7</v>
      </c>
      <c r="P155" s="7">
        <v>119</v>
      </c>
      <c r="Q155" s="7">
        <v>-0.36914419106556373</v>
      </c>
      <c r="R155" s="7">
        <v>-0.3738766648302484</v>
      </c>
    </row>
    <row r="156" spans="2:18" ht="15.75" customHeight="1">
      <c r="B156" s="7">
        <f t="shared" si="6"/>
        <v>5.9499999999999869</v>
      </c>
      <c r="C156" s="7">
        <f t="shared" ref="C156:C163" si="7">SIN(B156)</f>
        <v>-0.32705481486975324</v>
      </c>
      <c r="D156" s="7" t="s">
        <v>7</v>
      </c>
      <c r="P156" s="7">
        <v>120</v>
      </c>
      <c r="Q156" s="7">
        <v>-0.32484386061701365</v>
      </c>
      <c r="R156" s="7">
        <v>-0.32705481486975324</v>
      </c>
    </row>
    <row r="157" spans="2:18" ht="15.75" customHeight="1">
      <c r="B157" s="7">
        <f t="shared" si="6"/>
        <v>5.9999999999999867</v>
      </c>
      <c r="C157" s="7">
        <f t="shared" si="7"/>
        <v>-0.27941549819893868</v>
      </c>
      <c r="D157" s="7" t="s">
        <v>7</v>
      </c>
      <c r="P157" s="7">
        <v>121</v>
      </c>
      <c r="Q157" s="7">
        <v>-0.27953618006375969</v>
      </c>
      <c r="R157" s="7">
        <v>-0.27941549819893868</v>
      </c>
    </row>
    <row r="158" spans="2:18" ht="15.75" customHeight="1">
      <c r="B158" s="7">
        <f t="shared" si="6"/>
        <v>6.0499999999999865</v>
      </c>
      <c r="C158" s="7">
        <f t="shared" si="7"/>
        <v>-0.2310777882994052</v>
      </c>
      <c r="D158" s="7" t="s">
        <v>7</v>
      </c>
      <c r="P158" s="7">
        <v>122</v>
      </c>
      <c r="Q158" s="7">
        <v>-0.23322479521556083</v>
      </c>
      <c r="R158" s="7">
        <v>-0.2310777882994052</v>
      </c>
    </row>
    <row r="159" spans="2:18" ht="15.75" customHeight="1">
      <c r="B159" s="7">
        <f t="shared" si="6"/>
        <v>6.0999999999999863</v>
      </c>
      <c r="C159" s="7">
        <f t="shared" si="7"/>
        <v>-0.18216250427210898</v>
      </c>
      <c r="D159" s="7" t="s">
        <v>7</v>
      </c>
      <c r="P159" s="7">
        <v>123</v>
      </c>
      <c r="Q159" s="7">
        <v>-0.18593665176843288</v>
      </c>
      <c r="R159" s="7">
        <v>-0.18216250427210898</v>
      </c>
    </row>
    <row r="160" spans="2:18" ht="15.75" customHeight="1">
      <c r="B160" s="7">
        <f t="shared" si="6"/>
        <v>6.1499999999999861</v>
      </c>
      <c r="C160" s="7">
        <f t="shared" si="7"/>
        <v>-0.13279190885253081</v>
      </c>
      <c r="D160" s="7" t="s">
        <v>7</v>
      </c>
      <c r="P160" s="7">
        <v>124</v>
      </c>
      <c r="Q160" s="7">
        <v>-0.13771117610853523</v>
      </c>
      <c r="R160" s="7">
        <v>-0.13279190885253081</v>
      </c>
    </row>
    <row r="161" spans="2:18" ht="15.75" customHeight="1">
      <c r="B161" s="7">
        <f t="shared" si="6"/>
        <v>6.199999999999986</v>
      </c>
      <c r="C161" s="7">
        <f t="shared" si="7"/>
        <v>-8.3089402817510566E-2</v>
      </c>
      <c r="D161" s="7" t="s">
        <v>7</v>
      </c>
      <c r="P161" s="7">
        <v>125</v>
      </c>
      <c r="Q161" s="7">
        <v>-8.8594171041895819E-2</v>
      </c>
      <c r="R161" s="7">
        <v>-8.3089402817510566E-2</v>
      </c>
    </row>
    <row r="162" spans="2:18" ht="15.75" customHeight="1">
      <c r="B162" s="7">
        <f t="shared" si="6"/>
        <v>6.2499999999999858</v>
      </c>
      <c r="C162" s="7">
        <f t="shared" si="7"/>
        <v>-3.3179216547571021E-2</v>
      </c>
      <c r="D162" s="7" t="s">
        <v>7</v>
      </c>
      <c r="P162" s="7">
        <v>126</v>
      </c>
      <c r="Q162" s="7">
        <v>-3.8634430840074785E-2</v>
      </c>
      <c r="R162" s="7">
        <v>-3.3179216547571021E-2</v>
      </c>
    </row>
    <row r="163" spans="2:18" ht="15.75" customHeight="1">
      <c r="B163" s="7">
        <f t="shared" si="6"/>
        <v>6.2999999999999856</v>
      </c>
      <c r="C163" s="7">
        <f t="shared" si="7"/>
        <v>1.6813900484335505E-2</v>
      </c>
      <c r="D163" s="7" t="s">
        <v>7</v>
      </c>
      <c r="P163" s="7">
        <v>127</v>
      </c>
      <c r="Q163" s="7">
        <v>1.2118124654492135E-2</v>
      </c>
      <c r="R163" s="7">
        <v>1.6813900484335505E-2</v>
      </c>
    </row>
  </sheetData>
  <mergeCells count="15">
    <mergeCell ref="A2:T3"/>
    <mergeCell ref="I48:J48"/>
    <mergeCell ref="H40:K40"/>
    <mergeCell ref="J26:K26"/>
    <mergeCell ref="B6:D7"/>
    <mergeCell ref="J18:K18"/>
    <mergeCell ref="J6:K6"/>
    <mergeCell ref="I10:L10"/>
    <mergeCell ref="P5:S5"/>
    <mergeCell ref="J29:K29"/>
    <mergeCell ref="J27:K27"/>
    <mergeCell ref="J30:K30"/>
    <mergeCell ref="A32:S33"/>
    <mergeCell ref="P35:R35"/>
    <mergeCell ref="B35:D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Rajgopal</dc:creator>
  <cp:lastModifiedBy>Aravind</cp:lastModifiedBy>
  <dcterms:created xsi:type="dcterms:W3CDTF">2010-08-03T19:31:10Z</dcterms:created>
  <dcterms:modified xsi:type="dcterms:W3CDTF">2011-05-02T04:51:08Z</dcterms:modified>
</cp:coreProperties>
</file>