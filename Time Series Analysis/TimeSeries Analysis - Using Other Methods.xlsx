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Main Screen" sheetId="9" r:id="rId1"/>
    <sheet name="Deseasonalize" sheetId="1" r:id="rId2"/>
    <sheet name="Regression Analysis" sheetId="2" r:id="rId3"/>
    <sheet name="Seasonalize Forecast" sheetId="8" r:id="rId4"/>
    <sheet name="Correlation" sheetId="6" r:id="rId5"/>
    <sheet name="Correlation Regression Analysis" sheetId="5" r:id="rId6"/>
    <sheet name="Weighted Moving Average" sheetId="3" r:id="rId7"/>
    <sheet name=" Moving Average" sheetId="4" r:id="rId8"/>
    <sheet name="Standard Deviation" sheetId="7" r:id="rId9"/>
  </sheets>
  <calcPr calcId="124519"/>
</workbook>
</file>

<file path=xl/calcChain.xml><?xml version="1.0" encoding="utf-8"?>
<calcChain xmlns="http://schemas.openxmlformats.org/spreadsheetml/2006/main">
  <c r="F17" i="2"/>
  <c r="C17"/>
  <c r="F30" i="7"/>
  <c r="F27"/>
  <c r="E25"/>
  <c r="E21"/>
  <c r="E22"/>
  <c r="E23"/>
  <c r="E24"/>
  <c r="E20"/>
  <c r="D21"/>
  <c r="D22"/>
  <c r="D23"/>
  <c r="D24"/>
  <c r="D20"/>
  <c r="J19"/>
  <c r="G13" i="5"/>
  <c r="H30" s="1"/>
  <c r="F13"/>
  <c r="F17" s="1"/>
  <c r="E13"/>
  <c r="D13"/>
  <c r="C13"/>
  <c r="F6" i="8"/>
  <c r="F7"/>
  <c r="F8"/>
  <c r="F5"/>
  <c r="F13" i="4"/>
  <c r="F14"/>
  <c r="F15"/>
  <c r="F16"/>
  <c r="F17"/>
  <c r="F18"/>
  <c r="F19"/>
  <c r="F20"/>
  <c r="F21"/>
  <c r="F12"/>
  <c r="E13"/>
  <c r="E14"/>
  <c r="E15"/>
  <c r="E16"/>
  <c r="E17"/>
  <c r="E18"/>
  <c r="E19"/>
  <c r="E20"/>
  <c r="E21"/>
  <c r="E12"/>
  <c r="D13"/>
  <c r="D14"/>
  <c r="D15"/>
  <c r="D16"/>
  <c r="D17"/>
  <c r="D18"/>
  <c r="D19"/>
  <c r="D20"/>
  <c r="D21"/>
  <c r="D12"/>
  <c r="C8" i="3"/>
  <c r="F9" i="1"/>
  <c r="D9"/>
  <c r="E9"/>
  <c r="C9"/>
  <c r="D8"/>
  <c r="E8"/>
  <c r="F8"/>
  <c r="C8"/>
  <c r="G6"/>
  <c r="G7"/>
  <c r="G5"/>
  <c r="G8" l="1"/>
  <c r="G9" s="1"/>
  <c r="E10" s="1"/>
  <c r="E19" s="1"/>
  <c r="C36" i="5"/>
  <c r="D36" s="1"/>
  <c r="F20"/>
  <c r="D27" s="1"/>
  <c r="F10" i="1" l="1"/>
  <c r="C10"/>
  <c r="C19" s="1"/>
  <c r="D13" i="2" s="1"/>
  <c r="D10" i="1"/>
  <c r="E18"/>
  <c r="D11" i="2" s="1"/>
  <c r="G11" s="1"/>
  <c r="D15"/>
  <c r="G15" s="1"/>
  <c r="E17" i="1"/>
  <c r="D7" i="2" s="1"/>
  <c r="G7" s="1"/>
  <c r="F17" i="1"/>
  <c r="D8" i="2" s="1"/>
  <c r="G8" s="1"/>
  <c r="D24" i="5"/>
  <c r="D26"/>
  <c r="D25"/>
  <c r="F18" i="1" l="1"/>
  <c r="D12" i="2" s="1"/>
  <c r="G12" s="1"/>
  <c r="F19" i="1"/>
  <c r="D16" i="2" s="1"/>
  <c r="G16" s="1"/>
  <c r="D18" i="1"/>
  <c r="D10" i="2" s="1"/>
  <c r="G10" s="1"/>
  <c r="D19" i="1"/>
  <c r="D14" i="2" s="1"/>
  <c r="G14" s="1"/>
  <c r="G13"/>
  <c r="D17" i="1"/>
  <c r="D6" i="2" s="1"/>
  <c r="G6" s="1"/>
  <c r="C18" i="1"/>
  <c r="D9" i="2" s="1"/>
  <c r="G9" s="1"/>
  <c r="C17" i="1"/>
  <c r="D5" i="2" s="1"/>
  <c r="G18" i="1"/>
  <c r="E17" i="2" l="1"/>
  <c r="D17"/>
  <c r="G5"/>
  <c r="G17" s="1"/>
  <c r="G17" i="1"/>
  <c r="G19"/>
  <c r="F24" i="2" l="1"/>
  <c r="F21"/>
  <c r="D28" l="1"/>
  <c r="D30"/>
  <c r="D29"/>
  <c r="D31"/>
</calcChain>
</file>

<file path=xl/sharedStrings.xml><?xml version="1.0" encoding="utf-8"?>
<sst xmlns="http://schemas.openxmlformats.org/spreadsheetml/2006/main" count="212" uniqueCount="134">
  <si>
    <t>1.</t>
  </si>
  <si>
    <t>Seasonalized Time Series Forecast</t>
  </si>
  <si>
    <t>&lt; Back</t>
  </si>
  <si>
    <t>Quaterly Sales (thousands of units)</t>
  </si>
  <si>
    <t>Year</t>
  </si>
  <si>
    <t>q1</t>
  </si>
  <si>
    <t>q2</t>
  </si>
  <si>
    <t>q3</t>
  </si>
  <si>
    <t>q4</t>
  </si>
  <si>
    <t>Total</t>
  </si>
  <si>
    <t>Quarter Average</t>
  </si>
  <si>
    <t>*</t>
  </si>
  <si>
    <t>Seasonal Index **</t>
  </si>
  <si>
    <t>* Overall Qtr Avg</t>
  </si>
  <si>
    <t>8700 / 12 = 725</t>
  </si>
  <si>
    <t>** Seasonal Index</t>
  </si>
  <si>
    <t>Quarter Average / Overall Quarter average</t>
  </si>
  <si>
    <t>Deseasonalize data by dividing each quarterly value by its SI.</t>
  </si>
  <si>
    <t>For instance, 520 / .809 = 642.8,  730 / 1.122 - 650.6, and so on.</t>
  </si>
  <si>
    <t>2.</t>
  </si>
  <si>
    <t>Regression analysis</t>
  </si>
  <si>
    <t>Time Period</t>
  </si>
  <si>
    <t>X</t>
  </si>
  <si>
    <t>Y</t>
  </si>
  <si>
    <t>y2</t>
  </si>
  <si>
    <t>x2</t>
  </si>
  <si>
    <t>xy</t>
  </si>
  <si>
    <t>1 - Q1</t>
  </si>
  <si>
    <t>1 - Q2</t>
  </si>
  <si>
    <t>1 - Q3</t>
  </si>
  <si>
    <t>1 - Q4</t>
  </si>
  <si>
    <t>2 - Q1</t>
  </si>
  <si>
    <t>2 - Q2</t>
  </si>
  <si>
    <t>2 - Q3</t>
  </si>
  <si>
    <t>2 - Q4</t>
  </si>
  <si>
    <t>3 - Q1</t>
  </si>
  <si>
    <t>3 - Q2</t>
  </si>
  <si>
    <t>3 - Q3</t>
  </si>
  <si>
    <t>3 - Q4</t>
  </si>
  <si>
    <t>S</t>
  </si>
  <si>
    <t>a=</t>
  </si>
  <si>
    <r>
      <t>S</t>
    </r>
    <r>
      <rPr>
        <sz val="10"/>
        <rFont val="Arial"/>
        <family val="2"/>
      </rPr>
      <t>x</t>
    </r>
    <r>
      <rPr>
        <sz val="10"/>
        <rFont val="Symbol"/>
        <family val="1"/>
        <charset val="2"/>
      </rPr>
      <t>2S</t>
    </r>
    <r>
      <rPr>
        <sz val="10"/>
        <rFont val="Arial"/>
        <family val="2"/>
      </rPr>
      <t>y</t>
    </r>
  </si>
  <si>
    <r>
      <t>S</t>
    </r>
    <r>
      <rPr>
        <sz val="10"/>
        <rFont val="Arial"/>
        <family val="2"/>
      </rPr>
      <t>x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xy</t>
    </r>
  </si>
  <si>
    <t>=</t>
  </si>
  <si>
    <r>
      <t>n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x</t>
    </r>
    <r>
      <rPr>
        <sz val="10"/>
        <rFont val="Symbol"/>
        <family val="1"/>
        <charset val="2"/>
      </rPr>
      <t>2</t>
    </r>
  </si>
  <si>
    <r>
      <t>(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x</t>
    </r>
    <r>
      <rPr>
        <sz val="10"/>
        <rFont val="Arial"/>
        <family val="2"/>
      </rPr>
      <t>)2</t>
    </r>
  </si>
  <si>
    <t>b=</t>
  </si>
  <si>
    <r>
      <t>n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xy</t>
    </r>
  </si>
  <si>
    <r>
      <t>S</t>
    </r>
    <r>
      <rPr>
        <sz val="10"/>
        <rFont val="Arial"/>
        <family val="2"/>
      </rPr>
      <t>x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y</t>
    </r>
  </si>
  <si>
    <t>Y = a + bX =</t>
  </si>
  <si>
    <t>6.</t>
  </si>
  <si>
    <t>Weighted Moving Average</t>
  </si>
  <si>
    <t>Actual Data</t>
  </si>
  <si>
    <t>Weight</t>
  </si>
  <si>
    <t>Week 7</t>
  </si>
  <si>
    <t>Week 8</t>
  </si>
  <si>
    <t>Week 9</t>
  </si>
  <si>
    <t>Week 10 Forecast</t>
  </si>
  <si>
    <t>Forecast 10</t>
  </si>
  <si>
    <r>
      <t xml:space="preserve">.20 * 85 </t>
    </r>
    <r>
      <rPr>
        <b/>
        <sz val="12"/>
        <rFont val="Arial"/>
        <family val="2"/>
      </rPr>
      <t>+</t>
    </r>
    <r>
      <rPr>
        <sz val="10"/>
        <rFont val="Arial"/>
        <family val="2"/>
      </rPr>
      <t xml:space="preserve"> .30 * 110 + .50 * 110</t>
    </r>
  </si>
  <si>
    <t>7.</t>
  </si>
  <si>
    <t>Moving Average</t>
  </si>
  <si>
    <t>Forecasts</t>
  </si>
  <si>
    <t>AP = 3 Weeks</t>
  </si>
  <si>
    <t>AP = 5 Weeks</t>
  </si>
  <si>
    <t>AP = 7 Weeks</t>
  </si>
  <si>
    <t>Sample computations forecast for the 10th week:</t>
  </si>
  <si>
    <r>
      <t>F</t>
    </r>
    <r>
      <rPr>
        <vertAlign val="subscript"/>
        <sz val="10"/>
        <rFont val="Arial"/>
        <family val="2"/>
      </rPr>
      <t>3 =</t>
    </r>
  </si>
  <si>
    <t>85+102+110/3</t>
  </si>
  <si>
    <r>
      <t>F</t>
    </r>
    <r>
      <rPr>
        <vertAlign val="subscript"/>
        <sz val="10"/>
        <rFont val="Arial"/>
        <family val="2"/>
      </rPr>
      <t>5 =</t>
    </r>
  </si>
  <si>
    <t>105+130+85+102+110/5</t>
  </si>
  <si>
    <r>
      <t>F</t>
    </r>
    <r>
      <rPr>
        <vertAlign val="subscript"/>
        <sz val="10"/>
        <rFont val="Arial"/>
        <family val="2"/>
      </rPr>
      <t>7 =</t>
    </r>
  </si>
  <si>
    <t>90+110+105+130+85+102+110/7</t>
  </si>
  <si>
    <t>5.</t>
  </si>
  <si>
    <t>Correlation Regression analysis</t>
  </si>
  <si>
    <t>* 260 forecast of next $ contracts</t>
  </si>
  <si>
    <t>* 290 forecast of next $ contracts</t>
  </si>
  <si>
    <t>* 300 forecast of next $ contracts</t>
  </si>
  <si>
    <t>* 270 forecast of next $ contracts</t>
  </si>
  <si>
    <t>r =</t>
  </si>
  <si>
    <t xml:space="preserve"> =</t>
  </si>
  <si>
    <r>
      <t>Ö</t>
    </r>
    <r>
      <rPr>
        <b/>
        <sz val="10"/>
        <color indexed="10"/>
        <rFont val="Arial"/>
        <family val="2"/>
      </rPr>
      <t xml:space="preserve"> </t>
    </r>
    <r>
      <rPr>
        <b/>
        <sz val="12"/>
        <rFont val="Arial"/>
        <family val="2"/>
      </rPr>
      <t>[</t>
    </r>
    <r>
      <rPr>
        <b/>
        <sz val="10"/>
        <color indexed="10"/>
        <rFont val="Arial"/>
        <family val="2"/>
      </rPr>
      <t xml:space="preserve"> n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x</t>
    </r>
    <r>
      <rPr>
        <sz val="10"/>
        <rFont val="Symbol"/>
        <family val="1"/>
        <charset val="2"/>
      </rPr>
      <t>2</t>
    </r>
  </si>
  <si>
    <r>
      <t>(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x)2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]</t>
    </r>
  </si>
  <si>
    <r>
      <t xml:space="preserve"> </t>
    </r>
    <r>
      <rPr>
        <b/>
        <sz val="10"/>
        <rFont val="Arial"/>
        <family val="2"/>
      </rPr>
      <t xml:space="preserve"> </t>
    </r>
    <r>
      <rPr>
        <b/>
        <sz val="12"/>
        <rFont val="Arial"/>
        <family val="2"/>
      </rPr>
      <t>[</t>
    </r>
    <r>
      <rPr>
        <b/>
        <sz val="12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n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>y</t>
    </r>
    <r>
      <rPr>
        <sz val="10"/>
        <rFont val="Symbol"/>
        <family val="1"/>
        <charset val="2"/>
      </rPr>
      <t>2</t>
    </r>
  </si>
  <si>
    <r>
      <t>(</t>
    </r>
    <r>
      <rPr>
        <sz val="10"/>
        <rFont val="Symbol"/>
        <family val="1"/>
        <charset val="2"/>
      </rPr>
      <t>S</t>
    </r>
    <r>
      <rPr>
        <sz val="10"/>
        <rFont val="Arial"/>
        <family val="2"/>
      </rPr>
      <t xml:space="preserve">y)2 </t>
    </r>
    <r>
      <rPr>
        <b/>
        <sz val="12"/>
        <rFont val="Arial"/>
        <family val="2"/>
      </rPr>
      <t>]</t>
    </r>
  </si>
  <si>
    <t>r ^ 2 =</t>
  </si>
  <si>
    <t>The amount of contracts (x) explains approximately 80 percent of the observed variation in quaterly demand</t>
  </si>
  <si>
    <t>4.</t>
  </si>
  <si>
    <t>Correlation</t>
  </si>
  <si>
    <t>of Company</t>
  </si>
  <si>
    <t>by the state</t>
  </si>
  <si>
    <t>Quarter</t>
  </si>
  <si>
    <t>Sales $000s</t>
  </si>
  <si>
    <t>Contracts Released $000s</t>
  </si>
  <si>
    <t>Q1</t>
  </si>
  <si>
    <t>Q2</t>
  </si>
  <si>
    <t>Q3</t>
  </si>
  <si>
    <t>Q4</t>
  </si>
  <si>
    <t>8.</t>
  </si>
  <si>
    <t>Standard Deviation</t>
  </si>
  <si>
    <t>Variance of a sample:</t>
  </si>
  <si>
    <t>The variance of a sample of n measurements x1, x2, . . . , xn is defined to be the sum of the</t>
  </si>
  <si>
    <t xml:space="preserve">squared deviations of the measurements about their mena  x  divided by (n - 1).  The same </t>
  </si>
  <si>
    <t>variance is denoted by s^2 and is given by the formula.</t>
  </si>
  <si>
    <t>n</t>
  </si>
  <si>
    <t>Variance</t>
  </si>
  <si>
    <r>
      <t>s</t>
    </r>
    <r>
      <rPr>
        <vertAlign val="superscript"/>
        <sz val="16"/>
        <rFont val="Arial"/>
        <family val="2"/>
      </rPr>
      <t xml:space="preserve">2 </t>
    </r>
    <r>
      <rPr>
        <sz val="16"/>
        <rFont val="Arial"/>
        <family val="2"/>
      </rPr>
      <t>=</t>
    </r>
    <r>
      <rPr>
        <vertAlign val="superscript"/>
        <sz val="16"/>
        <rFont val="Arial"/>
        <family val="2"/>
      </rPr>
      <t xml:space="preserve"> </t>
    </r>
    <r>
      <rPr>
        <sz val="16"/>
        <rFont val="Arial"/>
        <family val="2"/>
      </rPr>
      <t xml:space="preserve"> </t>
    </r>
  </si>
  <si>
    <r>
      <t>(x</t>
    </r>
    <r>
      <rPr>
        <i/>
        <vertAlign val="subscript"/>
        <sz val="16"/>
        <rFont val="Arial"/>
        <family val="2"/>
      </rPr>
      <t>i</t>
    </r>
    <r>
      <rPr>
        <sz val="16"/>
        <rFont val="Arial"/>
        <family val="2"/>
      </rPr>
      <t xml:space="preserve"> - x) </t>
    </r>
    <r>
      <rPr>
        <vertAlign val="superscript"/>
        <sz val="16"/>
        <rFont val="Arial"/>
        <family val="2"/>
      </rPr>
      <t>2</t>
    </r>
  </si>
  <si>
    <r>
      <t>n</t>
    </r>
    <r>
      <rPr>
        <sz val="14"/>
        <rFont val="Arial"/>
        <family val="2"/>
      </rPr>
      <t xml:space="preserve"> - 1 </t>
    </r>
  </si>
  <si>
    <r>
      <t>i</t>
    </r>
    <r>
      <rPr>
        <sz val="10"/>
        <rFont val="Arial"/>
        <family val="2"/>
      </rPr>
      <t xml:space="preserve"> = 1</t>
    </r>
  </si>
  <si>
    <r>
      <t>s</t>
    </r>
    <r>
      <rPr>
        <vertAlign val="superscript"/>
        <sz val="16"/>
        <rFont val="Arial"/>
        <family val="2"/>
      </rPr>
      <t xml:space="preserve"> </t>
    </r>
    <r>
      <rPr>
        <sz val="16"/>
        <rFont val="Arial"/>
        <family val="2"/>
      </rPr>
      <t>=</t>
    </r>
    <r>
      <rPr>
        <vertAlign val="superscript"/>
        <sz val="16"/>
        <rFont val="Arial"/>
        <family val="2"/>
      </rPr>
      <t xml:space="preserve"> </t>
    </r>
    <r>
      <rPr>
        <sz val="16"/>
        <rFont val="Arial"/>
        <family val="2"/>
      </rPr>
      <t xml:space="preserve"> </t>
    </r>
  </si>
  <si>
    <r>
      <t xml:space="preserve">Ö </t>
    </r>
    <r>
      <rPr>
        <sz val="14"/>
        <rFont val="Arial"/>
        <family val="2"/>
      </rPr>
      <t>s</t>
    </r>
  </si>
  <si>
    <t>Example:</t>
  </si>
  <si>
    <r>
      <t>x</t>
    </r>
    <r>
      <rPr>
        <i/>
        <vertAlign val="subscript"/>
        <sz val="12"/>
        <rFont val="Arial"/>
        <family val="2"/>
      </rPr>
      <t>i</t>
    </r>
  </si>
  <si>
    <r>
      <t>( x</t>
    </r>
    <r>
      <rPr>
        <i/>
        <vertAlign val="subscript"/>
        <sz val="12"/>
        <rFont val="Arial"/>
        <family val="2"/>
      </rPr>
      <t>i</t>
    </r>
    <r>
      <rPr>
        <sz val="12"/>
        <rFont val="Arial"/>
        <family val="2"/>
      </rPr>
      <t xml:space="preserve"> - x )</t>
    </r>
  </si>
  <si>
    <r>
      <t>( x</t>
    </r>
    <r>
      <rPr>
        <i/>
        <vertAlign val="subscript"/>
        <sz val="12"/>
        <rFont val="Arial"/>
        <family val="2"/>
      </rPr>
      <t>i</t>
    </r>
    <r>
      <rPr>
        <sz val="12"/>
        <rFont val="Arial"/>
        <family val="2"/>
      </rPr>
      <t xml:space="preserve"> - x )</t>
    </r>
    <r>
      <rPr>
        <vertAlign val="superscript"/>
        <sz val="12"/>
        <rFont val="Arial"/>
        <family val="2"/>
      </rPr>
      <t>2</t>
    </r>
  </si>
  <si>
    <t xml:space="preserve"> x =</t>
  </si>
  <si>
    <t>(average or mean)</t>
  </si>
  <si>
    <r>
      <t>=</t>
    </r>
    <r>
      <rPr>
        <vertAlign val="superscript"/>
        <sz val="16"/>
        <rFont val="Arial"/>
        <family val="2"/>
      </rPr>
      <t xml:space="preserve"> </t>
    </r>
    <r>
      <rPr>
        <sz val="16"/>
        <rFont val="Arial"/>
        <family val="2"/>
      </rPr>
      <t xml:space="preserve"> </t>
    </r>
  </si>
  <si>
    <t>Ö 5.70</t>
  </si>
  <si>
    <t>3.</t>
  </si>
  <si>
    <t>Seasonalized Forecast</t>
  </si>
  <si>
    <t>S.I.</t>
  </si>
  <si>
    <t>Deaseasonalized Forecast</t>
  </si>
  <si>
    <t>Index</t>
  </si>
  <si>
    <t>Regression Analysis and Correlation</t>
  </si>
  <si>
    <t>1 - Deseasonalize data</t>
  </si>
  <si>
    <t>7 - Moving Average Short-Range Forecasting</t>
  </si>
  <si>
    <t>2 - Regression Analysis</t>
  </si>
  <si>
    <t>8 - Standard Deviation</t>
  </si>
  <si>
    <t>3 - Seasonalize Forecast</t>
  </si>
  <si>
    <t>4 - Correlation</t>
  </si>
  <si>
    <t>5 - Correlation Regression Analysis</t>
  </si>
  <si>
    <t>6 - Weighted Moving Average</t>
  </si>
</sst>
</file>

<file path=xl/styles.xml><?xml version="1.0" encoding="utf-8"?>
<styleSheet xmlns="http://schemas.openxmlformats.org/spreadsheetml/2006/main">
  <numFmts count="6">
    <numFmt numFmtId="6" formatCode="&quot;$&quot;#,##0_);[Red]\(&quot;$&quot;#,##0\)"/>
    <numFmt numFmtId="43" formatCode="_(* #,##0.00_);_(* \(#,##0.00\);_(* &quot;-&quot;??_);_(@_)"/>
    <numFmt numFmtId="164" formatCode="0.000"/>
    <numFmt numFmtId="165" formatCode="0.0"/>
    <numFmt numFmtId="166" formatCode="_(* #,##0.0_);_(* \(#,##0.0\);_(* &quot;-&quot;??_);_(@_)"/>
    <numFmt numFmtId="167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b/>
      <sz val="14"/>
      <name val="Symbol"/>
      <family val="1"/>
      <charset val="2"/>
    </font>
    <font>
      <sz val="12"/>
      <name val="Arial"/>
      <family val="2"/>
    </font>
    <font>
      <b/>
      <sz val="12"/>
      <color indexed="10"/>
      <name val="Arial"/>
      <family val="2"/>
    </font>
    <font>
      <u/>
      <sz val="10"/>
      <color indexed="12"/>
      <name val="Arial"/>
      <family val="2"/>
    </font>
    <font>
      <vertAlign val="subscript"/>
      <sz val="10"/>
      <name val="Arial"/>
      <family val="2"/>
    </font>
    <font>
      <sz val="24"/>
      <name val="Symbol"/>
      <family val="1"/>
      <charset val="2"/>
    </font>
    <font>
      <sz val="16"/>
      <name val="Arial"/>
      <family val="2"/>
    </font>
    <font>
      <i/>
      <vertAlign val="subscript"/>
      <sz val="16"/>
      <name val="Arial"/>
      <family val="2"/>
    </font>
    <font>
      <vertAlign val="superscript"/>
      <sz val="16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i/>
      <sz val="14"/>
      <name val="Arial"/>
      <family val="2"/>
    </font>
    <font>
      <sz val="12"/>
      <name val="Symbol"/>
      <family val="1"/>
      <charset val="2"/>
    </font>
    <font>
      <sz val="14"/>
      <name val="Symbol"/>
      <family val="1"/>
      <charset val="2"/>
    </font>
    <font>
      <i/>
      <vertAlign val="subscript"/>
      <sz val="12"/>
      <name val="Arial"/>
      <family val="2"/>
    </font>
    <font>
      <vertAlign val="superscript"/>
      <sz val="12"/>
      <name val="Arial"/>
      <family val="2"/>
    </font>
    <font>
      <sz val="10"/>
      <name val="Arial"/>
      <family val="2"/>
    </font>
    <font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</cellStyleXfs>
  <cellXfs count="187">
    <xf numFmtId="0" fontId="0" fillId="0" borderId="0" xfId="0"/>
    <xf numFmtId="0" fontId="1" fillId="0" borderId="0" xfId="1"/>
    <xf numFmtId="0" fontId="1" fillId="0" borderId="0" xfId="1" quotePrefix="1"/>
    <xf numFmtId="0" fontId="1" fillId="2" borderId="1" xfId="1" applyFill="1" applyBorder="1"/>
    <xf numFmtId="0" fontId="2" fillId="3" borderId="2" xfId="1" applyFont="1" applyFill="1" applyBorder="1" applyAlignment="1">
      <alignment horizontal="center"/>
    </xf>
    <xf numFmtId="0" fontId="1" fillId="4" borderId="2" xfId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5" borderId="4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165" fontId="1" fillId="2" borderId="6" xfId="1" applyNumberFormat="1" applyFill="1" applyBorder="1"/>
    <xf numFmtId="165" fontId="1" fillId="2" borderId="6" xfId="1" applyNumberFormat="1" applyFill="1" applyBorder="1" applyAlignment="1">
      <alignment horizontal="center"/>
    </xf>
    <xf numFmtId="0" fontId="1" fillId="6" borderId="1" xfId="1" applyFill="1" applyBorder="1"/>
    <xf numFmtId="164" fontId="1" fillId="6" borderId="6" xfId="1" applyNumberFormat="1" applyFill="1" applyBorder="1"/>
    <xf numFmtId="2" fontId="1" fillId="4" borderId="2" xfId="1" applyNumberFormat="1" applyFill="1" applyBorder="1" applyAlignment="1">
      <alignment horizontal="center"/>
    </xf>
    <xf numFmtId="165" fontId="1" fillId="4" borderId="2" xfId="1" applyNumberFormat="1" applyFill="1" applyBorder="1" applyAlignment="1">
      <alignment horizontal="center"/>
    </xf>
    <xf numFmtId="0" fontId="4" fillId="0" borderId="0" xfId="1" quotePrefix="1" applyFont="1"/>
    <xf numFmtId="0" fontId="4" fillId="0" borderId="0" xfId="1" applyFont="1"/>
    <xf numFmtId="0" fontId="10" fillId="0" borderId="0" xfId="2" applyAlignment="1" applyProtection="1"/>
    <xf numFmtId="0" fontId="1" fillId="0" borderId="0" xfId="3"/>
    <xf numFmtId="0" fontId="2" fillId="3" borderId="2" xfId="3" applyFont="1" applyFill="1" applyBorder="1" applyAlignment="1">
      <alignment horizontal="center"/>
    </xf>
    <xf numFmtId="0" fontId="1" fillId="4" borderId="2" xfId="3" applyFill="1" applyBorder="1" applyAlignment="1">
      <alignment horizontal="center"/>
    </xf>
    <xf numFmtId="0" fontId="1" fillId="4" borderId="3" xfId="3" applyFill="1" applyBorder="1" applyAlignment="1">
      <alignment horizontal="center"/>
    </xf>
    <xf numFmtId="165" fontId="1" fillId="4" borderId="2" xfId="3" applyNumberFormat="1" applyFill="1" applyBorder="1" applyAlignment="1">
      <alignment horizontal="center"/>
    </xf>
    <xf numFmtId="0" fontId="4" fillId="0" borderId="0" xfId="3" quotePrefix="1" applyFont="1"/>
    <xf numFmtId="0" fontId="4" fillId="0" borderId="0" xfId="3" applyFont="1"/>
    <xf numFmtId="0" fontId="1" fillId="5" borderId="1" xfId="3" applyFill="1" applyBorder="1" applyAlignment="1">
      <alignment horizontal="center"/>
    </xf>
    <xf numFmtId="0" fontId="1" fillId="5" borderId="6" xfId="3" applyFill="1" applyBorder="1" applyAlignment="1">
      <alignment horizontal="center"/>
    </xf>
    <xf numFmtId="165" fontId="1" fillId="5" borderId="6" xfId="3" applyNumberFormat="1" applyFill="1" applyBorder="1" applyAlignment="1">
      <alignment horizontal="center"/>
    </xf>
    <xf numFmtId="43" fontId="1" fillId="5" borderId="6" xfId="4" applyFont="1" applyFill="1" applyBorder="1" applyAlignment="1">
      <alignment horizontal="center"/>
    </xf>
    <xf numFmtId="166" fontId="1" fillId="5" borderId="7" xfId="4" applyNumberFormat="1" applyFont="1" applyFill="1" applyBorder="1" applyAlignment="1">
      <alignment horizontal="center"/>
    </xf>
    <xf numFmtId="0" fontId="5" fillId="0" borderId="0" xfId="3" applyFont="1"/>
    <xf numFmtId="0" fontId="6" fillId="4" borderId="2" xfId="3" applyFont="1" applyFill="1" applyBorder="1" applyAlignment="1">
      <alignment horizontal="center"/>
    </xf>
    <xf numFmtId="0" fontId="5" fillId="2" borderId="9" xfId="3" applyFont="1" applyFill="1" applyBorder="1" applyAlignment="1">
      <alignment horizontal="center"/>
    </xf>
    <xf numFmtId="0" fontId="6" fillId="2" borderId="0" xfId="3" applyFont="1" applyFill="1" applyBorder="1" applyAlignment="1">
      <alignment horizontal="center"/>
    </xf>
    <xf numFmtId="0" fontId="1" fillId="2" borderId="0" xfId="3" applyFont="1" applyFill="1" applyBorder="1" applyAlignment="1">
      <alignment horizontal="center"/>
    </xf>
    <xf numFmtId="0" fontId="1" fillId="2" borderId="10" xfId="3" applyFill="1" applyBorder="1"/>
    <xf numFmtId="0" fontId="1" fillId="2" borderId="0" xfId="3" applyFill="1" applyBorder="1"/>
    <xf numFmtId="0" fontId="1" fillId="2" borderId="11" xfId="3" applyFill="1" applyBorder="1"/>
    <xf numFmtId="0" fontId="6" fillId="2" borderId="12" xfId="3" applyFont="1" applyFill="1" applyBorder="1" applyAlignment="1">
      <alignment horizontal="center"/>
    </xf>
    <xf numFmtId="0" fontId="5" fillId="2" borderId="12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1" fillId="2" borderId="8" xfId="3" applyFont="1" applyFill="1" applyBorder="1" applyAlignment="1">
      <alignment horizontal="center"/>
    </xf>
    <xf numFmtId="0" fontId="1" fillId="6" borderId="2" xfId="3" applyFill="1" applyBorder="1" applyAlignment="1">
      <alignment horizontal="center"/>
    </xf>
    <xf numFmtId="165" fontId="1" fillId="6" borderId="2" xfId="3" applyNumberFormat="1" applyFill="1" applyBorder="1" applyAlignment="1">
      <alignment horizontal="center"/>
    </xf>
    <xf numFmtId="0" fontId="6" fillId="6" borderId="2" xfId="3" applyFont="1" applyFill="1" applyBorder="1" applyAlignment="1">
      <alignment horizontal="center"/>
    </xf>
    <xf numFmtId="0" fontId="1" fillId="0" borderId="0" xfId="5"/>
    <xf numFmtId="0" fontId="1" fillId="0" borderId="0" xfId="5" quotePrefix="1"/>
    <xf numFmtId="0" fontId="2" fillId="3" borderId="2" xfId="5" applyFont="1" applyFill="1" applyBorder="1" applyAlignment="1">
      <alignment horizontal="center"/>
    </xf>
    <xf numFmtId="0" fontId="1" fillId="4" borderId="2" xfId="5" applyFill="1" applyBorder="1" applyAlignment="1">
      <alignment horizontal="center"/>
    </xf>
    <xf numFmtId="2" fontId="1" fillId="4" borderId="2" xfId="5" applyNumberFormat="1" applyFill="1" applyBorder="1" applyAlignment="1">
      <alignment horizontal="center"/>
    </xf>
    <xf numFmtId="0" fontId="4" fillId="0" borderId="0" xfId="5" quotePrefix="1" applyFont="1"/>
    <xf numFmtId="0" fontId="4" fillId="0" borderId="0" xfId="5" applyFont="1"/>
    <xf numFmtId="0" fontId="1" fillId="2" borderId="2" xfId="5" applyFill="1" applyBorder="1" applyAlignment="1">
      <alignment horizontal="center"/>
    </xf>
    <xf numFmtId="2" fontId="1" fillId="2" borderId="2" xfId="5" applyNumberFormat="1" applyFill="1" applyBorder="1" applyAlignment="1">
      <alignment horizontal="center"/>
    </xf>
    <xf numFmtId="0" fontId="1" fillId="0" borderId="0" xfId="6"/>
    <xf numFmtId="0" fontId="2" fillId="3" borderId="2" xfId="6" applyFont="1" applyFill="1" applyBorder="1" applyAlignment="1">
      <alignment horizontal="center"/>
    </xf>
    <xf numFmtId="0" fontId="1" fillId="4" borderId="2" xfId="6" applyFill="1" applyBorder="1" applyAlignment="1">
      <alignment horizontal="center"/>
    </xf>
    <xf numFmtId="0" fontId="3" fillId="0" borderId="8" xfId="6" applyFont="1" applyBorder="1" applyAlignment="1">
      <alignment horizontal="center"/>
    </xf>
    <xf numFmtId="2" fontId="1" fillId="4" borderId="2" xfId="6" applyNumberFormat="1" applyFill="1" applyBorder="1" applyAlignment="1">
      <alignment horizontal="center"/>
    </xf>
    <xf numFmtId="0" fontId="4" fillId="0" borderId="0" xfId="6" quotePrefix="1" applyFont="1"/>
    <xf numFmtId="0" fontId="4" fillId="0" borderId="0" xfId="6" applyFont="1"/>
    <xf numFmtId="0" fontId="1" fillId="0" borderId="0" xfId="6" applyAlignment="1">
      <alignment horizontal="right"/>
    </xf>
    <xf numFmtId="0" fontId="23" fillId="0" borderId="0" xfId="7"/>
    <xf numFmtId="0" fontId="2" fillId="3" borderId="2" xfId="7" applyFont="1" applyFill="1" applyBorder="1" applyAlignment="1">
      <alignment horizontal="center"/>
    </xf>
    <xf numFmtId="0" fontId="23" fillId="4" borderId="2" xfId="7" applyFill="1" applyBorder="1" applyAlignment="1">
      <alignment horizontal="center"/>
    </xf>
    <xf numFmtId="0" fontId="23" fillId="4" borderId="3" xfId="7" applyFill="1" applyBorder="1" applyAlignment="1">
      <alignment horizontal="center"/>
    </xf>
    <xf numFmtId="0" fontId="4" fillId="0" borderId="0" xfId="7" quotePrefix="1" applyFont="1"/>
    <xf numFmtId="0" fontId="4" fillId="0" borderId="0" xfId="7" applyFont="1"/>
    <xf numFmtId="0" fontId="23" fillId="5" borderId="1" xfId="7" applyFill="1" applyBorder="1" applyAlignment="1">
      <alignment horizontal="center"/>
    </xf>
    <xf numFmtId="0" fontId="23" fillId="5" borderId="6" xfId="7" applyFill="1" applyBorder="1" applyAlignment="1">
      <alignment horizontal="center"/>
    </xf>
    <xf numFmtId="0" fontId="5" fillId="0" borderId="0" xfId="7" applyFont="1"/>
    <xf numFmtId="0" fontId="6" fillId="4" borderId="2" xfId="7" applyFont="1" applyFill="1" applyBorder="1" applyAlignment="1">
      <alignment horizontal="center"/>
    </xf>
    <xf numFmtId="0" fontId="5" fillId="2" borderId="9" xfId="7" applyFont="1" applyFill="1" applyBorder="1" applyAlignment="1">
      <alignment horizontal="center"/>
    </xf>
    <xf numFmtId="0" fontId="6" fillId="2" borderId="0" xfId="7" applyFont="1" applyFill="1" applyBorder="1" applyAlignment="1">
      <alignment horizontal="center"/>
    </xf>
    <xf numFmtId="0" fontId="1" fillId="2" borderId="0" xfId="7" applyFont="1" applyFill="1" applyBorder="1" applyAlignment="1">
      <alignment horizontal="center"/>
    </xf>
    <xf numFmtId="0" fontId="23" fillId="2" borderId="10" xfId="7" applyFill="1" applyBorder="1"/>
    <xf numFmtId="0" fontId="23" fillId="2" borderId="0" xfId="7" applyFill="1" applyBorder="1"/>
    <xf numFmtId="0" fontId="23" fillId="2" borderId="11" xfId="7" applyFill="1" applyBorder="1"/>
    <xf numFmtId="0" fontId="6" fillId="2" borderId="12" xfId="7" applyFont="1" applyFill="1" applyBorder="1" applyAlignment="1">
      <alignment horizontal="center"/>
    </xf>
    <xf numFmtId="0" fontId="5" fillId="2" borderId="12" xfId="7" applyFont="1" applyFill="1" applyBorder="1" applyAlignment="1">
      <alignment horizontal="center"/>
    </xf>
    <xf numFmtId="0" fontId="6" fillId="2" borderId="8" xfId="7" applyFont="1" applyFill="1" applyBorder="1" applyAlignment="1">
      <alignment horizontal="center"/>
    </xf>
    <xf numFmtId="0" fontId="1" fillId="2" borderId="8" xfId="7" applyFont="1" applyFill="1" applyBorder="1" applyAlignment="1">
      <alignment horizontal="center"/>
    </xf>
    <xf numFmtId="0" fontId="23" fillId="6" borderId="2" xfId="7" applyFill="1" applyBorder="1" applyAlignment="1">
      <alignment horizontal="center"/>
    </xf>
    <xf numFmtId="165" fontId="23" fillId="6" borderId="2" xfId="7" applyNumberFormat="1" applyFill="1" applyBorder="1" applyAlignment="1">
      <alignment horizontal="center"/>
    </xf>
    <xf numFmtId="0" fontId="6" fillId="6" borderId="2" xfId="7" applyFont="1" applyFill="1" applyBorder="1" applyAlignment="1">
      <alignment horizontal="center"/>
    </xf>
    <xf numFmtId="1" fontId="23" fillId="4" borderId="3" xfId="7" applyNumberFormat="1" applyFill="1" applyBorder="1" applyAlignment="1">
      <alignment horizontal="center"/>
    </xf>
    <xf numFmtId="1" fontId="23" fillId="4" borderId="2" xfId="7" applyNumberFormat="1" applyFill="1" applyBorder="1" applyAlignment="1">
      <alignment horizontal="center"/>
    </xf>
    <xf numFmtId="167" fontId="23" fillId="5" borderId="6" xfId="8" applyNumberFormat="1" applyFont="1" applyFill="1" applyBorder="1" applyAlignment="1">
      <alignment horizontal="center"/>
    </xf>
    <xf numFmtId="1" fontId="23" fillId="5" borderId="7" xfId="8" applyNumberFormat="1" applyFont="1" applyFill="1" applyBorder="1" applyAlignment="1">
      <alignment horizontal="center"/>
    </xf>
    <xf numFmtId="0" fontId="7" fillId="2" borderId="0" xfId="7" applyFont="1" applyFill="1" applyBorder="1" applyAlignment="1">
      <alignment horizontal="center"/>
    </xf>
    <xf numFmtId="0" fontId="23" fillId="2" borderId="12" xfId="7" applyFill="1" applyBorder="1"/>
    <xf numFmtId="0" fontId="23" fillId="2" borderId="15" xfId="7" applyFill="1" applyBorder="1"/>
    <xf numFmtId="0" fontId="23" fillId="2" borderId="16" xfId="7" applyFill="1" applyBorder="1"/>
    <xf numFmtId="0" fontId="23" fillId="2" borderId="17" xfId="7" applyFill="1" applyBorder="1"/>
    <xf numFmtId="0" fontId="5" fillId="2" borderId="12" xfId="7" applyFont="1" applyFill="1" applyBorder="1"/>
    <xf numFmtId="43" fontId="23" fillId="0" borderId="0" xfId="8" applyFont="1"/>
    <xf numFmtId="0" fontId="23" fillId="0" borderId="0" xfId="10"/>
    <xf numFmtId="0" fontId="2" fillId="3" borderId="2" xfId="10" applyFont="1" applyFill="1" applyBorder="1" applyAlignment="1">
      <alignment horizontal="center"/>
    </xf>
    <xf numFmtId="0" fontId="23" fillId="4" borderId="2" xfId="10" applyFill="1" applyBorder="1" applyAlignment="1">
      <alignment horizontal="center"/>
    </xf>
    <xf numFmtId="0" fontId="23" fillId="0" borderId="0" xfId="10" applyAlignment="1">
      <alignment horizontal="center"/>
    </xf>
    <xf numFmtId="0" fontId="4" fillId="0" borderId="0" xfId="10" quotePrefix="1" applyFont="1"/>
    <xf numFmtId="0" fontId="4" fillId="0" borderId="0" xfId="10" applyFont="1"/>
    <xf numFmtId="0" fontId="23" fillId="4" borderId="13" xfId="10" applyFill="1" applyBorder="1" applyAlignment="1">
      <alignment horizontal="center"/>
    </xf>
    <xf numFmtId="0" fontId="23" fillId="4" borderId="14" xfId="10" applyFill="1" applyBorder="1" applyAlignment="1">
      <alignment horizontal="center"/>
    </xf>
    <xf numFmtId="6" fontId="23" fillId="0" borderId="0" xfId="10" applyNumberFormat="1" applyAlignment="1">
      <alignment horizontal="center"/>
    </xf>
    <xf numFmtId="0" fontId="23" fillId="0" borderId="0" xfId="11"/>
    <xf numFmtId="0" fontId="23" fillId="0" borderId="0" xfId="11" applyAlignment="1">
      <alignment horizontal="center"/>
    </xf>
    <xf numFmtId="0" fontId="4" fillId="0" borderId="0" xfId="11" quotePrefix="1" applyFont="1"/>
    <xf numFmtId="0" fontId="4" fillId="0" borderId="0" xfId="11" applyFont="1"/>
    <xf numFmtId="0" fontId="16" fillId="0" borderId="8" xfId="11" applyFont="1" applyBorder="1" applyAlignment="1">
      <alignment horizontal="center"/>
    </xf>
    <xf numFmtId="0" fontId="12" fillId="0" borderId="0" xfId="11" applyFont="1" applyAlignment="1">
      <alignment horizontal="center" vertical="center"/>
    </xf>
    <xf numFmtId="0" fontId="17" fillId="0" borderId="0" xfId="11" applyFont="1" applyAlignment="1">
      <alignment horizontal="center"/>
    </xf>
    <xf numFmtId="0" fontId="18" fillId="0" borderId="0" xfId="11" applyFont="1" applyAlignment="1">
      <alignment horizontal="center"/>
    </xf>
    <xf numFmtId="0" fontId="8" fillId="0" borderId="0" xfId="11" applyFont="1"/>
    <xf numFmtId="0" fontId="8" fillId="0" borderId="0" xfId="11" quotePrefix="1" applyFont="1"/>
    <xf numFmtId="0" fontId="8" fillId="0" borderId="2" xfId="11" applyFont="1" applyBorder="1"/>
    <xf numFmtId="0" fontId="23" fillId="0" borderId="2" xfId="11" applyBorder="1"/>
    <xf numFmtId="0" fontId="8" fillId="0" borderId="2" xfId="11" applyFont="1" applyBorder="1" applyAlignment="1">
      <alignment horizontal="center"/>
    </xf>
    <xf numFmtId="0" fontId="23" fillId="0" borderId="2" xfId="11" applyBorder="1" applyAlignment="1">
      <alignment horizontal="center"/>
    </xf>
    <xf numFmtId="0" fontId="23" fillId="0" borderId="3" xfId="11" applyBorder="1" applyAlignment="1">
      <alignment horizontal="center"/>
    </xf>
    <xf numFmtId="0" fontId="23" fillId="0" borderId="19" xfId="11" applyBorder="1"/>
    <xf numFmtId="0" fontId="23" fillId="0" borderId="20" xfId="11" applyBorder="1"/>
    <xf numFmtId="0" fontId="19" fillId="0" borderId="21" xfId="11" applyFont="1" applyBorder="1" applyAlignment="1">
      <alignment horizontal="center" vertical="center"/>
    </xf>
    <xf numFmtId="0" fontId="23" fillId="0" borderId="12" xfId="11" applyBorder="1" applyAlignment="1">
      <alignment horizontal="center"/>
    </xf>
    <xf numFmtId="0" fontId="23" fillId="0" borderId="0" xfId="12"/>
    <xf numFmtId="0" fontId="2" fillId="3" borderId="2" xfId="12" applyFont="1" applyFill="1" applyBorder="1" applyAlignment="1">
      <alignment horizontal="center"/>
    </xf>
    <xf numFmtId="0" fontId="23" fillId="4" borderId="2" xfId="12" applyFill="1" applyBorder="1" applyAlignment="1">
      <alignment horizontal="center"/>
    </xf>
    <xf numFmtId="0" fontId="3" fillId="0" borderId="8" xfId="12" applyFont="1" applyBorder="1" applyAlignment="1">
      <alignment horizontal="center"/>
    </xf>
    <xf numFmtId="164" fontId="23" fillId="4" borderId="2" xfId="12" applyNumberFormat="1" applyFill="1" applyBorder="1" applyAlignment="1">
      <alignment horizontal="center"/>
    </xf>
    <xf numFmtId="165" fontId="23" fillId="4" borderId="2" xfId="12" applyNumberFormat="1" applyFill="1" applyBorder="1" applyAlignment="1">
      <alignment horizontal="center"/>
    </xf>
    <xf numFmtId="0" fontId="4" fillId="0" borderId="0" xfId="12" quotePrefix="1" applyFont="1"/>
    <xf numFmtId="0" fontId="4" fillId="0" borderId="0" xfId="12" applyFont="1"/>
    <xf numFmtId="164" fontId="23" fillId="4" borderId="3" xfId="12" applyNumberFormat="1" applyFill="1" applyBorder="1" applyAlignment="1">
      <alignment horizontal="center"/>
    </xf>
    <xf numFmtId="167" fontId="0" fillId="0" borderId="0" xfId="0" applyNumberFormat="1"/>
    <xf numFmtId="0" fontId="0" fillId="5" borderId="0" xfId="0" applyFill="1"/>
    <xf numFmtId="0" fontId="24" fillId="5" borderId="0" xfId="0" applyFont="1" applyFill="1"/>
    <xf numFmtId="0" fontId="10" fillId="5" borderId="0" xfId="2" applyFont="1" applyFill="1" applyAlignment="1" applyProtection="1"/>
    <xf numFmtId="0" fontId="10" fillId="5" borderId="0" xfId="2" applyFill="1" applyAlignment="1" applyProtection="1"/>
    <xf numFmtId="0" fontId="3" fillId="0" borderId="8" xfId="1" applyFont="1" applyBorder="1" applyAlignment="1">
      <alignment horizontal="center"/>
    </xf>
    <xf numFmtId="0" fontId="1" fillId="2" borderId="10" xfId="3" applyFill="1" applyBorder="1" applyAlignment="1">
      <alignment horizontal="right" vertical="center"/>
    </xf>
    <xf numFmtId="0" fontId="1" fillId="2" borderId="22" xfId="3" applyFill="1" applyBorder="1" applyAlignment="1">
      <alignment horizontal="right" vertical="center"/>
    </xf>
    <xf numFmtId="0" fontId="1" fillId="2" borderId="0" xfId="3" applyFill="1" applyBorder="1" applyAlignment="1">
      <alignment horizontal="center" vertical="center"/>
    </xf>
    <xf numFmtId="0" fontId="1" fillId="2" borderId="8" xfId="3" applyFill="1" applyBorder="1" applyAlignment="1">
      <alignment horizontal="center" vertical="center"/>
    </xf>
    <xf numFmtId="2" fontId="1" fillId="2" borderId="23" xfId="3" applyNumberFormat="1" applyFill="1" applyBorder="1" applyAlignment="1">
      <alignment horizontal="center" vertical="center"/>
    </xf>
    <xf numFmtId="2" fontId="1" fillId="2" borderId="24" xfId="3" applyNumberFormat="1" applyFill="1" applyBorder="1" applyAlignment="1">
      <alignment horizontal="center" vertical="center"/>
    </xf>
    <xf numFmtId="2" fontId="1" fillId="2" borderId="8" xfId="3" applyNumberFormat="1" applyFill="1" applyBorder="1" applyAlignment="1">
      <alignment horizontal="center" vertical="center"/>
    </xf>
    <xf numFmtId="2" fontId="1" fillId="2" borderId="25" xfId="3" applyNumberFormat="1" applyFill="1" applyBorder="1" applyAlignment="1">
      <alignment horizontal="center" vertical="center"/>
    </xf>
    <xf numFmtId="0" fontId="3" fillId="0" borderId="8" xfId="3" applyFont="1" applyBorder="1" applyAlignment="1">
      <alignment horizontal="center"/>
    </xf>
    <xf numFmtId="0" fontId="1" fillId="2" borderId="26" xfId="3" applyFill="1" applyBorder="1" applyAlignment="1">
      <alignment horizontal="right" vertical="center"/>
    </xf>
    <xf numFmtId="0" fontId="1" fillId="2" borderId="23" xfId="3" applyFill="1" applyBorder="1" applyAlignment="1">
      <alignment horizontal="center" vertical="center"/>
    </xf>
    <xf numFmtId="2" fontId="1" fillId="2" borderId="0" xfId="3" applyNumberFormat="1" applyFill="1" applyBorder="1" applyAlignment="1">
      <alignment horizontal="center" vertical="center"/>
    </xf>
    <xf numFmtId="2" fontId="1" fillId="2" borderId="11" xfId="3" applyNumberFormat="1" applyFill="1" applyBorder="1" applyAlignment="1">
      <alignment horizontal="center" vertical="center"/>
    </xf>
    <xf numFmtId="164" fontId="23" fillId="2" borderId="27" xfId="7" applyNumberFormat="1" applyFill="1" applyBorder="1" applyAlignment="1">
      <alignment horizontal="center" vertical="center"/>
    </xf>
    <xf numFmtId="164" fontId="23" fillId="2" borderId="28" xfId="7" applyNumberFormat="1" applyFill="1" applyBorder="1" applyAlignment="1">
      <alignment horizontal="center" vertical="center"/>
    </xf>
    <xf numFmtId="164" fontId="23" fillId="2" borderId="29" xfId="7" applyNumberFormat="1" applyFill="1" applyBorder="1" applyAlignment="1">
      <alignment horizontal="center" vertical="center"/>
    </xf>
    <xf numFmtId="0" fontId="23" fillId="2" borderId="30" xfId="7" applyFill="1" applyBorder="1" applyAlignment="1">
      <alignment horizontal="center" vertical="center"/>
    </xf>
    <xf numFmtId="9" fontId="23" fillId="2" borderId="27" xfId="9" applyFont="1" applyFill="1" applyBorder="1" applyAlignment="1">
      <alignment horizontal="center" vertical="center"/>
    </xf>
    <xf numFmtId="9" fontId="23" fillId="2" borderId="28" xfId="9" applyFont="1" applyFill="1" applyBorder="1" applyAlignment="1">
      <alignment horizontal="center" vertical="center"/>
    </xf>
    <xf numFmtId="9" fontId="23" fillId="2" borderId="29" xfId="9" applyFont="1" applyFill="1" applyBorder="1" applyAlignment="1">
      <alignment horizontal="center" vertical="center"/>
    </xf>
    <xf numFmtId="0" fontId="23" fillId="2" borderId="33" xfId="7" applyFill="1" applyBorder="1" applyAlignment="1">
      <alignment horizontal="center" vertical="center"/>
    </xf>
    <xf numFmtId="0" fontId="23" fillId="2" borderId="34" xfId="7" applyFill="1" applyBorder="1" applyAlignment="1">
      <alignment horizontal="center" vertical="center"/>
    </xf>
    <xf numFmtId="0" fontId="23" fillId="2" borderId="35" xfId="7" applyFill="1" applyBorder="1" applyAlignment="1">
      <alignment horizontal="center" vertical="center"/>
    </xf>
    <xf numFmtId="0" fontId="3" fillId="0" borderId="8" xfId="7" applyFont="1" applyBorder="1" applyAlignment="1">
      <alignment horizontal="center"/>
    </xf>
    <xf numFmtId="0" fontId="23" fillId="2" borderId="26" xfId="7" applyFill="1" applyBorder="1" applyAlignment="1">
      <alignment horizontal="right" vertical="center"/>
    </xf>
    <xf numFmtId="0" fontId="23" fillId="2" borderId="10" xfId="7" applyFill="1" applyBorder="1" applyAlignment="1">
      <alignment horizontal="right" vertical="center"/>
    </xf>
    <xf numFmtId="0" fontId="23" fillId="2" borderId="23" xfId="7" applyFill="1" applyBorder="1" applyAlignment="1">
      <alignment horizontal="center" vertical="center"/>
    </xf>
    <xf numFmtId="0" fontId="23" fillId="2" borderId="0" xfId="7" applyFill="1" applyBorder="1" applyAlignment="1">
      <alignment horizontal="center" vertical="center"/>
    </xf>
    <xf numFmtId="2" fontId="23" fillId="2" borderId="23" xfId="7" applyNumberFormat="1" applyFill="1" applyBorder="1" applyAlignment="1">
      <alignment horizontal="center" vertical="center"/>
    </xf>
    <xf numFmtId="2" fontId="23" fillId="2" borderId="24" xfId="7" applyNumberFormat="1" applyFill="1" applyBorder="1" applyAlignment="1">
      <alignment horizontal="center" vertical="center"/>
    </xf>
    <xf numFmtId="2" fontId="23" fillId="2" borderId="0" xfId="7" applyNumberFormat="1" applyFill="1" applyBorder="1" applyAlignment="1">
      <alignment horizontal="center" vertical="center"/>
    </xf>
    <xf numFmtId="2" fontId="23" fillId="2" borderId="11" xfId="7" applyNumberFormat="1" applyFill="1" applyBorder="1" applyAlignment="1">
      <alignment horizontal="center" vertical="center"/>
    </xf>
    <xf numFmtId="0" fontId="23" fillId="2" borderId="22" xfId="7" applyFill="1" applyBorder="1" applyAlignment="1">
      <alignment horizontal="right" vertical="center"/>
    </xf>
    <xf numFmtId="0" fontId="23" fillId="2" borderId="8" xfId="7" applyFill="1" applyBorder="1" applyAlignment="1">
      <alignment horizontal="center" vertical="center"/>
    </xf>
    <xf numFmtId="2" fontId="23" fillId="2" borderId="8" xfId="7" applyNumberFormat="1" applyFill="1" applyBorder="1" applyAlignment="1">
      <alignment horizontal="center" vertical="center"/>
    </xf>
    <xf numFmtId="2" fontId="23" fillId="2" borderId="25" xfId="7" applyNumberFormat="1" applyFill="1" applyBorder="1" applyAlignment="1">
      <alignment horizontal="center" vertical="center"/>
    </xf>
    <xf numFmtId="0" fontId="3" fillId="0" borderId="8" xfId="5" applyFont="1" applyBorder="1" applyAlignment="1">
      <alignment horizontal="center"/>
    </xf>
    <xf numFmtId="0" fontId="1" fillId="0" borderId="0" xfId="6" quotePrefix="1" applyAlignment="1">
      <alignment horizontal="left"/>
    </xf>
    <xf numFmtId="0" fontId="1" fillId="0" borderId="0" xfId="6" applyAlignment="1">
      <alignment horizontal="left"/>
    </xf>
    <xf numFmtId="0" fontId="2" fillId="3" borderId="18" xfId="6" applyFont="1" applyFill="1" applyBorder="1" applyAlignment="1">
      <alignment horizontal="center"/>
    </xf>
    <xf numFmtId="0" fontId="2" fillId="3" borderId="31" xfId="6" applyFont="1" applyFill="1" applyBorder="1" applyAlignment="1">
      <alignment horizontal="center"/>
    </xf>
    <xf numFmtId="0" fontId="2" fillId="3" borderId="32" xfId="6" applyFont="1" applyFill="1" applyBorder="1" applyAlignment="1">
      <alignment horizontal="center"/>
    </xf>
    <xf numFmtId="0" fontId="13" fillId="0" borderId="0" xfId="11" applyFont="1" applyAlignment="1">
      <alignment horizontal="center" vertical="center"/>
    </xf>
    <xf numFmtId="0" fontId="23" fillId="0" borderId="0" xfId="11" applyAlignment="1">
      <alignment horizontal="center"/>
    </xf>
    <xf numFmtId="0" fontId="20" fillId="0" borderId="0" xfId="11" applyFont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3" fillId="0" borderId="0" xfId="11" quotePrefix="1" applyFont="1" applyAlignment="1">
      <alignment horizontal="center" vertical="center"/>
    </xf>
    <xf numFmtId="2" fontId="13" fillId="0" borderId="0" xfId="11" applyNumberFormat="1" applyFont="1" applyAlignment="1">
      <alignment horizontal="center" vertical="center"/>
    </xf>
  </cellXfs>
  <cellStyles count="13">
    <cellStyle name="Comma 3" xfId="4"/>
    <cellStyle name="Comma 6" xfId="8"/>
    <cellStyle name="Hyperlink" xfId="2" builtinId="8"/>
    <cellStyle name="Normal" xfId="0" builtinId="0"/>
    <cellStyle name="Normal 10" xfId="12"/>
    <cellStyle name="Normal 2" xfId="1"/>
    <cellStyle name="Normal 3" xfId="3"/>
    <cellStyle name="Normal 4" xfId="5"/>
    <cellStyle name="Normal 5" xfId="6"/>
    <cellStyle name="Normal 6" xfId="7"/>
    <cellStyle name="Normal 7" xfId="10"/>
    <cellStyle name="Normal 8" xfId="11"/>
    <cellStyle name="Percent 6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F17"/>
  <sheetViews>
    <sheetView tabSelected="1" workbookViewId="0">
      <selection activeCell="E9" sqref="E9"/>
    </sheetView>
  </sheetViews>
  <sheetFormatPr defaultRowHeight="15"/>
  <cols>
    <col min="1" max="2" width="9.140625" style="134"/>
    <col min="3" max="3" width="66.5703125" style="134" bestFit="1" customWidth="1"/>
    <col min="4" max="4" width="9.140625" style="134"/>
    <col min="5" max="5" width="38.7109375" style="134" bestFit="1" customWidth="1"/>
    <col min="6" max="16384" width="9.140625" style="134"/>
  </cols>
  <sheetData>
    <row r="4" spans="3:6" ht="25.5">
      <c r="C4" s="135" t="s">
        <v>125</v>
      </c>
    </row>
    <row r="7" spans="3:6">
      <c r="C7" s="136" t="s">
        <v>126</v>
      </c>
      <c r="E7" s="136" t="s">
        <v>127</v>
      </c>
    </row>
    <row r="9" spans="3:6">
      <c r="C9" s="136" t="s">
        <v>128</v>
      </c>
      <c r="E9" s="137" t="s">
        <v>129</v>
      </c>
      <c r="F9" s="137"/>
    </row>
    <row r="11" spans="3:6">
      <c r="C11" s="136" t="s">
        <v>130</v>
      </c>
    </row>
    <row r="13" spans="3:6">
      <c r="C13" s="136" t="s">
        <v>131</v>
      </c>
    </row>
    <row r="15" spans="3:6">
      <c r="C15" s="136" t="s">
        <v>132</v>
      </c>
    </row>
    <row r="17" spans="3:3">
      <c r="C17" s="136" t="s">
        <v>133</v>
      </c>
    </row>
  </sheetData>
  <hyperlinks>
    <hyperlink ref="C7" location="Deseasonalize!A1" display="Deseasonalize data"/>
    <hyperlink ref="C9" location="'Regression Analysis'!A1" display="Regression Analysis"/>
    <hyperlink ref="C11" location="'Seasonalize Forecast'!A1" display="Seasonalize Forecast"/>
    <hyperlink ref="C13" location="Correlation!A1" display="Correlation"/>
    <hyperlink ref="C15" location="'Correlation Regression Analysis'!A1" display="Correlation Regression Analysis"/>
    <hyperlink ref="C17" location="'Weighted Moving Average'!A1" display="Weighted Moving Average"/>
    <hyperlink ref="E7" location="' Moving Average'!A1" display="Moving Average Short-Range Forecasting"/>
    <hyperlink ref="E9:F9" location="'Standard Deviation'!A1" display="8 - Standard Deviat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 ht="15.75">
      <c r="A1" s="15" t="s">
        <v>0</v>
      </c>
      <c r="B1" s="16" t="s">
        <v>1</v>
      </c>
      <c r="C1" s="16"/>
      <c r="D1" s="16"/>
      <c r="E1" s="1"/>
      <c r="F1" s="1"/>
      <c r="G1" s="1"/>
      <c r="H1" s="17" t="s">
        <v>2</v>
      </c>
    </row>
    <row r="3" spans="1:8">
      <c r="A3" s="1"/>
      <c r="B3" s="138" t="s">
        <v>3</v>
      </c>
      <c r="C3" s="138"/>
      <c r="D3" s="138"/>
      <c r="E3" s="138"/>
      <c r="F3" s="138"/>
      <c r="G3" s="138"/>
      <c r="H3" s="1"/>
    </row>
    <row r="4" spans="1:8">
      <c r="A4" s="1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1"/>
    </row>
    <row r="5" spans="1:8">
      <c r="A5" s="1"/>
      <c r="B5" s="5">
        <v>1</v>
      </c>
      <c r="C5" s="5">
        <v>520</v>
      </c>
      <c r="D5" s="5">
        <v>730</v>
      </c>
      <c r="E5" s="5">
        <v>820</v>
      </c>
      <c r="F5" s="5">
        <v>530</v>
      </c>
      <c r="G5" s="5">
        <f>SUM(C5:F5)</f>
        <v>2600</v>
      </c>
      <c r="H5" s="1"/>
    </row>
    <row r="6" spans="1:8">
      <c r="A6" s="1"/>
      <c r="B6" s="5">
        <v>2</v>
      </c>
      <c r="C6" s="5">
        <v>590</v>
      </c>
      <c r="D6" s="5">
        <v>810</v>
      </c>
      <c r="E6" s="5">
        <v>900</v>
      </c>
      <c r="F6" s="5">
        <v>600</v>
      </c>
      <c r="G6" s="5">
        <f t="shared" ref="G6" si="0">SUM(C6:F6)</f>
        <v>2900</v>
      </c>
      <c r="H6" s="1"/>
    </row>
    <row r="7" spans="1:8" ht="15.75" thickBot="1">
      <c r="A7" s="1"/>
      <c r="B7" s="6">
        <v>3</v>
      </c>
      <c r="C7" s="6">
        <v>650</v>
      </c>
      <c r="D7" s="6">
        <v>900</v>
      </c>
      <c r="E7" s="6">
        <v>1000</v>
      </c>
      <c r="F7" s="6">
        <v>650</v>
      </c>
      <c r="G7" s="5">
        <f>SUM(C7:F7)</f>
        <v>3200</v>
      </c>
      <c r="H7" s="1"/>
    </row>
    <row r="8" spans="1:8" ht="15.75" thickBot="1">
      <c r="A8" s="1"/>
      <c r="B8" s="7" t="s">
        <v>9</v>
      </c>
      <c r="C8" s="8">
        <f>SUM(C5:C7)</f>
        <v>1760</v>
      </c>
      <c r="D8" s="8">
        <f>SUM(D5:D7)</f>
        <v>2440</v>
      </c>
      <c r="E8" s="8">
        <f>SUM(E5:E7)</f>
        <v>2720</v>
      </c>
      <c r="F8" s="8">
        <f>SUM(F5:F7)</f>
        <v>1780</v>
      </c>
      <c r="G8" s="8">
        <f>SUM(G5:G7)</f>
        <v>8700</v>
      </c>
      <c r="H8" s="1"/>
    </row>
    <row r="9" spans="1:8" ht="15.75" thickBot="1">
      <c r="A9" s="1"/>
      <c r="B9" s="3" t="s">
        <v>10</v>
      </c>
      <c r="C9" s="9">
        <f>AVERAGE(C5:C7)</f>
        <v>586.66666666666663</v>
      </c>
      <c r="D9" s="9">
        <f>AVERAGE(D5:D7)</f>
        <v>813.33333333333337</v>
      </c>
      <c r="E9" s="9">
        <f>AVERAGE(E5:E7)</f>
        <v>906.66666666666663</v>
      </c>
      <c r="F9" s="9">
        <f>AVERAGE(F5:F7)</f>
        <v>593.33333333333337</v>
      </c>
      <c r="G9" s="10">
        <f>G8/12</f>
        <v>725</v>
      </c>
      <c r="H9" s="1" t="s">
        <v>11</v>
      </c>
    </row>
    <row r="10" spans="1:8" ht="15.75" thickBot="1">
      <c r="A10" s="1"/>
      <c r="B10" s="11" t="s">
        <v>12</v>
      </c>
      <c r="C10" s="12">
        <f>C9/$G$9</f>
        <v>0.80919540229885056</v>
      </c>
      <c r="D10" s="12">
        <f t="shared" ref="D10:F10" si="1">D9/$G$9</f>
        <v>1.1218390804597702</v>
      </c>
      <c r="E10" s="12">
        <f t="shared" si="1"/>
        <v>1.2505747126436781</v>
      </c>
      <c r="F10" s="12">
        <f t="shared" si="1"/>
        <v>0.81839080459770119</v>
      </c>
      <c r="G10" s="1"/>
      <c r="H10" s="1"/>
    </row>
    <row r="12" spans="1:8">
      <c r="A12" s="1"/>
      <c r="B12" s="1" t="s">
        <v>13</v>
      </c>
      <c r="C12" s="2" t="s">
        <v>14</v>
      </c>
      <c r="D12" s="1"/>
      <c r="E12" s="1"/>
      <c r="F12" s="1"/>
      <c r="G12" s="1"/>
      <c r="H12" s="1"/>
    </row>
    <row r="13" spans="1:8">
      <c r="A13" s="1"/>
      <c r="B13" s="1" t="s">
        <v>15</v>
      </c>
      <c r="C13" s="1" t="s">
        <v>16</v>
      </c>
      <c r="D13" s="1"/>
      <c r="E13" s="1"/>
      <c r="F13" s="1"/>
      <c r="G13" s="1"/>
      <c r="H13" s="1"/>
    </row>
    <row r="15" spans="1:8">
      <c r="A15" s="1"/>
      <c r="B15" s="138" t="s">
        <v>3</v>
      </c>
      <c r="C15" s="138"/>
      <c r="D15" s="138"/>
      <c r="E15" s="138"/>
      <c r="F15" s="138"/>
      <c r="G15" s="138"/>
      <c r="H15" s="1"/>
    </row>
    <row r="16" spans="1:8">
      <c r="A16" s="1"/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1"/>
    </row>
    <row r="17" spans="2:7">
      <c r="B17" s="5">
        <v>1</v>
      </c>
      <c r="C17" s="13">
        <f>C5/$C$10</f>
        <v>642.61363636363637</v>
      </c>
      <c r="D17" s="13">
        <f>D5/$D$10</f>
        <v>650.71721311475403</v>
      </c>
      <c r="E17" s="13">
        <f>E5/$E$10</f>
        <v>655.69852941176475</v>
      </c>
      <c r="F17" s="13">
        <f>F5/$F$10</f>
        <v>647.61235955056179</v>
      </c>
      <c r="G17" s="14">
        <f>SUM(C17:F17)</f>
        <v>2596.6417384407173</v>
      </c>
    </row>
    <row r="18" spans="2:7">
      <c r="B18" s="5">
        <v>2</v>
      </c>
      <c r="C18" s="13">
        <f>C6/$C$10</f>
        <v>729.11931818181824</v>
      </c>
      <c r="D18" s="13">
        <f>D6/$D$10</f>
        <v>722.02868852459005</v>
      </c>
      <c r="E18" s="13">
        <f>E6/$E$10</f>
        <v>719.66911764705878</v>
      </c>
      <c r="F18" s="13">
        <f>F6/$F$10</f>
        <v>733.14606741573027</v>
      </c>
      <c r="G18" s="14">
        <f t="shared" ref="G18:G19" si="2">SUM(C18:F18)</f>
        <v>2903.9631917691972</v>
      </c>
    </row>
    <row r="19" spans="2:7">
      <c r="B19" s="5">
        <v>3</v>
      </c>
      <c r="C19" s="13">
        <f>C7/$C$10</f>
        <v>803.2670454545455</v>
      </c>
      <c r="D19" s="13">
        <f>D7/$D$10</f>
        <v>802.25409836065569</v>
      </c>
      <c r="E19" s="13">
        <f>E7/$E$10</f>
        <v>799.63235294117646</v>
      </c>
      <c r="F19" s="13">
        <f>F7/$F$10</f>
        <v>794.24157303370782</v>
      </c>
      <c r="G19" s="14">
        <f t="shared" si="2"/>
        <v>3199.3950697900855</v>
      </c>
    </row>
    <row r="21" spans="2:7">
      <c r="B21" s="1" t="s">
        <v>17</v>
      </c>
      <c r="C21" s="1"/>
      <c r="D21" s="1"/>
      <c r="E21" s="1"/>
      <c r="F21" s="1"/>
      <c r="G21" s="1"/>
    </row>
    <row r="22" spans="2:7">
      <c r="B22" s="1" t="s">
        <v>18</v>
      </c>
      <c r="C22" s="1"/>
      <c r="D22" s="1"/>
      <c r="E22" s="1"/>
      <c r="F22" s="1"/>
      <c r="G22" s="1"/>
    </row>
  </sheetData>
  <mergeCells count="2">
    <mergeCell ref="B3:G3"/>
    <mergeCell ref="B15:G15"/>
  </mergeCells>
  <hyperlinks>
    <hyperlink ref="H1" location="'Main Screen'!A1" display="&lt; Back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2" max="2" width="23.85546875" bestFit="1" customWidth="1"/>
    <col min="5" max="5" width="12.85546875" bestFit="1" customWidth="1"/>
    <col min="7" max="7" width="9.28515625" bestFit="1" customWidth="1"/>
  </cols>
  <sheetData>
    <row r="1" spans="1:9" ht="15.75">
      <c r="A1" s="23" t="s">
        <v>19</v>
      </c>
      <c r="B1" s="24" t="s">
        <v>20</v>
      </c>
      <c r="C1" s="24"/>
      <c r="D1" s="24"/>
      <c r="E1" s="18"/>
      <c r="F1" s="18"/>
      <c r="G1" s="18"/>
      <c r="H1" s="18"/>
      <c r="I1" s="17" t="s">
        <v>2</v>
      </c>
    </row>
    <row r="3" spans="1:9">
      <c r="A3" s="18"/>
      <c r="B3" s="147" t="s">
        <v>3</v>
      </c>
      <c r="C3" s="147"/>
      <c r="D3" s="147"/>
      <c r="E3" s="147"/>
      <c r="F3" s="147"/>
      <c r="G3" s="147"/>
      <c r="H3" s="18"/>
      <c r="I3" s="18"/>
    </row>
    <row r="4" spans="1:9">
      <c r="A4" s="18"/>
      <c r="B4" s="19" t="s">
        <v>21</v>
      </c>
      <c r="C4" s="19" t="s">
        <v>22</v>
      </c>
      <c r="D4" s="19" t="s">
        <v>23</v>
      </c>
      <c r="E4" s="19" t="s">
        <v>24</v>
      </c>
      <c r="F4" s="19" t="s">
        <v>25</v>
      </c>
      <c r="G4" s="19" t="s">
        <v>26</v>
      </c>
      <c r="H4" s="18"/>
      <c r="I4" s="18"/>
    </row>
    <row r="5" spans="1:9">
      <c r="A5" s="18"/>
      <c r="B5" s="20" t="s">
        <v>27</v>
      </c>
      <c r="C5" s="20">
        <v>1</v>
      </c>
      <c r="D5" s="22">
        <f>Deseasonalize!C$17</f>
        <v>642.61363636363637</v>
      </c>
      <c r="E5" s="20"/>
      <c r="F5" s="20"/>
      <c r="G5" s="22">
        <f>D5*C5</f>
        <v>642.61363636363637</v>
      </c>
      <c r="H5" s="18"/>
      <c r="I5" s="18"/>
    </row>
    <row r="6" spans="1:9">
      <c r="A6" s="18"/>
      <c r="B6" s="20" t="s">
        <v>28</v>
      </c>
      <c r="C6" s="20">
        <v>2</v>
      </c>
      <c r="D6" s="22">
        <f>Deseasonalize!D$17</f>
        <v>650.71721311475403</v>
      </c>
      <c r="E6" s="20"/>
      <c r="F6" s="20"/>
      <c r="G6" s="22">
        <f t="shared" ref="G6:G16" si="0">D6*C6</f>
        <v>1301.4344262295081</v>
      </c>
      <c r="H6" s="18"/>
      <c r="I6" s="18"/>
    </row>
    <row r="7" spans="1:9">
      <c r="A7" s="18"/>
      <c r="B7" s="20" t="s">
        <v>29</v>
      </c>
      <c r="C7" s="20">
        <v>3</v>
      </c>
      <c r="D7" s="22">
        <f>Deseasonalize!E$17</f>
        <v>655.69852941176475</v>
      </c>
      <c r="E7" s="21"/>
      <c r="F7" s="21"/>
      <c r="G7" s="22">
        <f t="shared" si="0"/>
        <v>1967.0955882352941</v>
      </c>
      <c r="H7" s="18"/>
      <c r="I7" s="18"/>
    </row>
    <row r="8" spans="1:9">
      <c r="A8" s="18"/>
      <c r="B8" s="20" t="s">
        <v>30</v>
      </c>
      <c r="C8" s="20">
        <v>4</v>
      </c>
      <c r="D8" s="22">
        <f>Deseasonalize!F17</f>
        <v>647.61235955056179</v>
      </c>
      <c r="E8" s="21"/>
      <c r="F8" s="21"/>
      <c r="G8" s="22">
        <f t="shared" si="0"/>
        <v>2590.4494382022472</v>
      </c>
      <c r="H8" s="18"/>
      <c r="I8" s="18"/>
    </row>
    <row r="9" spans="1:9">
      <c r="A9" s="18"/>
      <c r="B9" s="20" t="s">
        <v>31</v>
      </c>
      <c r="C9" s="20">
        <v>5</v>
      </c>
      <c r="D9" s="22">
        <f>Deseasonalize!C$18</f>
        <v>729.11931818181824</v>
      </c>
      <c r="E9" s="21"/>
      <c r="F9" s="21"/>
      <c r="G9" s="22">
        <f t="shared" si="0"/>
        <v>3645.596590909091</v>
      </c>
      <c r="H9" s="18"/>
      <c r="I9" s="18"/>
    </row>
    <row r="10" spans="1:9">
      <c r="A10" s="18"/>
      <c r="B10" s="20" t="s">
        <v>32</v>
      </c>
      <c r="C10" s="20">
        <v>6</v>
      </c>
      <c r="D10" s="22">
        <f>Deseasonalize!D$18</f>
        <v>722.02868852459005</v>
      </c>
      <c r="E10" s="21"/>
      <c r="F10" s="21"/>
      <c r="G10" s="22">
        <f t="shared" si="0"/>
        <v>4332.1721311475403</v>
      </c>
      <c r="H10" s="18"/>
      <c r="I10" s="18"/>
    </row>
    <row r="11" spans="1:9">
      <c r="A11" s="18"/>
      <c r="B11" s="20" t="s">
        <v>33</v>
      </c>
      <c r="C11" s="20">
        <v>7</v>
      </c>
      <c r="D11" s="22">
        <f>Deseasonalize!E$18</f>
        <v>719.66911764705878</v>
      </c>
      <c r="E11" s="21"/>
      <c r="F11" s="21"/>
      <c r="G11" s="22">
        <f t="shared" si="0"/>
        <v>5037.6838235294117</v>
      </c>
      <c r="H11" s="18"/>
      <c r="I11" s="18"/>
    </row>
    <row r="12" spans="1:9">
      <c r="A12" s="18"/>
      <c r="B12" s="20" t="s">
        <v>34</v>
      </c>
      <c r="C12" s="20">
        <v>8</v>
      </c>
      <c r="D12" s="22">
        <f>Deseasonalize!F$18</f>
        <v>733.14606741573027</v>
      </c>
      <c r="E12" s="21"/>
      <c r="F12" s="21"/>
      <c r="G12" s="22">
        <f t="shared" si="0"/>
        <v>5865.1685393258422</v>
      </c>
      <c r="H12" s="18"/>
      <c r="I12" s="18"/>
    </row>
    <row r="13" spans="1:9">
      <c r="A13" s="18"/>
      <c r="B13" s="20" t="s">
        <v>35</v>
      </c>
      <c r="C13" s="20">
        <v>9</v>
      </c>
      <c r="D13" s="22">
        <f>Deseasonalize!C$19</f>
        <v>803.2670454545455</v>
      </c>
      <c r="E13" s="21"/>
      <c r="F13" s="21"/>
      <c r="G13" s="22">
        <f t="shared" si="0"/>
        <v>7229.4034090909099</v>
      </c>
      <c r="H13" s="18"/>
      <c r="I13" s="18"/>
    </row>
    <row r="14" spans="1:9">
      <c r="A14" s="18"/>
      <c r="B14" s="20" t="s">
        <v>36</v>
      </c>
      <c r="C14" s="20">
        <v>10</v>
      </c>
      <c r="D14" s="22">
        <f>Deseasonalize!D$19</f>
        <v>802.25409836065569</v>
      </c>
      <c r="E14" s="21"/>
      <c r="F14" s="21"/>
      <c r="G14" s="22">
        <f t="shared" si="0"/>
        <v>8022.5409836065573</v>
      </c>
      <c r="H14" s="18"/>
      <c r="I14" s="18"/>
    </row>
    <row r="15" spans="1:9">
      <c r="A15" s="18"/>
      <c r="B15" s="20" t="s">
        <v>37</v>
      </c>
      <c r="C15" s="20">
        <v>11</v>
      </c>
      <c r="D15" s="22">
        <f>Deseasonalize!E$19</f>
        <v>799.63235294117646</v>
      </c>
      <c r="E15" s="21"/>
      <c r="F15" s="21"/>
      <c r="G15" s="22">
        <f t="shared" si="0"/>
        <v>8795.9558823529405</v>
      </c>
      <c r="H15" s="18"/>
      <c r="I15" s="18"/>
    </row>
    <row r="16" spans="1:9" ht="15.75" thickBot="1">
      <c r="A16" s="18"/>
      <c r="B16" s="20" t="s">
        <v>38</v>
      </c>
      <c r="C16" s="31">
        <v>12</v>
      </c>
      <c r="D16" s="22">
        <f>Deseasonalize!F$19</f>
        <v>794.24157303370782</v>
      </c>
      <c r="E16" s="21"/>
      <c r="F16" s="21"/>
      <c r="G16" s="22">
        <f t="shared" si="0"/>
        <v>9530.8988764044934</v>
      </c>
      <c r="H16" s="18"/>
      <c r="I16" s="18"/>
    </row>
    <row r="17" spans="2:7" ht="15.75" thickBot="1">
      <c r="B17" s="25" t="s">
        <v>9</v>
      </c>
      <c r="C17" s="26">
        <f>SUM(C5:C16)</f>
        <v>78</v>
      </c>
      <c r="D17" s="27">
        <f>SUM(D5:D16)</f>
        <v>8700</v>
      </c>
      <c r="E17" s="28">
        <f>SUMSQ(D5:D16)</f>
        <v>6353175.8699152749</v>
      </c>
      <c r="F17" s="26">
        <f>SUMSQ(C5:C16)</f>
        <v>650</v>
      </c>
      <c r="G17" s="29">
        <f>SUM(G5:G16)</f>
        <v>58961.013325397478</v>
      </c>
    </row>
    <row r="18" spans="2:7">
      <c r="B18" s="18"/>
      <c r="C18" s="30" t="s">
        <v>39</v>
      </c>
      <c r="D18" s="30" t="s">
        <v>39</v>
      </c>
      <c r="E18" s="30" t="s">
        <v>39</v>
      </c>
      <c r="F18" s="30" t="s">
        <v>39</v>
      </c>
      <c r="G18" s="30" t="s">
        <v>39</v>
      </c>
    </row>
    <row r="21" spans="2:7" ht="15.75" thickBot="1">
      <c r="B21" s="148" t="s">
        <v>40</v>
      </c>
      <c r="C21" s="32" t="s">
        <v>41</v>
      </c>
      <c r="D21" s="32" t="s">
        <v>42</v>
      </c>
      <c r="E21" s="149" t="s">
        <v>43</v>
      </c>
      <c r="F21" s="143">
        <f>((F17*D17)-(C17*G17))/((C16*F17)-(C17^2))</f>
        <v>615.40848520920565</v>
      </c>
      <c r="G21" s="144"/>
    </row>
    <row r="22" spans="2:7">
      <c r="B22" s="139"/>
      <c r="C22" s="33" t="s">
        <v>44</v>
      </c>
      <c r="D22" s="34" t="s">
        <v>45</v>
      </c>
      <c r="E22" s="141"/>
      <c r="F22" s="150"/>
      <c r="G22" s="151"/>
    </row>
    <row r="23" spans="2:7">
      <c r="B23" s="35"/>
      <c r="C23" s="36"/>
      <c r="D23" s="36"/>
      <c r="E23" s="36"/>
      <c r="F23" s="36"/>
      <c r="G23" s="37"/>
    </row>
    <row r="24" spans="2:7" ht="15.75" thickBot="1">
      <c r="B24" s="139" t="s">
        <v>46</v>
      </c>
      <c r="C24" s="38" t="s">
        <v>47</v>
      </c>
      <c r="D24" s="39" t="s">
        <v>48</v>
      </c>
      <c r="E24" s="141" t="s">
        <v>43</v>
      </c>
      <c r="F24" s="143">
        <f>((C16*G17)-(C17*D17))/((C16*F17)-(C17^2))</f>
        <v>16.860233044737608</v>
      </c>
      <c r="G24" s="144"/>
    </row>
    <row r="25" spans="2:7">
      <c r="B25" s="140"/>
      <c r="C25" s="40" t="s">
        <v>44</v>
      </c>
      <c r="D25" s="41" t="s">
        <v>45</v>
      </c>
      <c r="E25" s="142"/>
      <c r="F25" s="145"/>
      <c r="G25" s="146"/>
    </row>
    <row r="28" spans="2:7">
      <c r="B28" s="42" t="s">
        <v>49</v>
      </c>
      <c r="C28" s="44">
        <v>13</v>
      </c>
      <c r="D28" s="43">
        <f>$F$21+$F$24*C28</f>
        <v>834.59151479079458</v>
      </c>
      <c r="E28" s="18"/>
      <c r="F28" s="18"/>
      <c r="G28" s="18"/>
    </row>
    <row r="29" spans="2:7">
      <c r="B29" s="42" t="s">
        <v>49</v>
      </c>
      <c r="C29" s="44">
        <v>14</v>
      </c>
      <c r="D29" s="43">
        <f t="shared" ref="D29:D31" si="1">$F$21+$F$24*C29</f>
        <v>851.45174783553216</v>
      </c>
      <c r="E29" s="18"/>
      <c r="F29" s="18"/>
      <c r="G29" s="18"/>
    </row>
    <row r="30" spans="2:7">
      <c r="B30" s="42" t="s">
        <v>49</v>
      </c>
      <c r="C30" s="44">
        <v>15</v>
      </c>
      <c r="D30" s="43">
        <f t="shared" si="1"/>
        <v>868.31198088026974</v>
      </c>
      <c r="E30" s="18"/>
      <c r="F30" s="18"/>
      <c r="G30" s="18"/>
    </row>
    <row r="31" spans="2:7">
      <c r="B31" s="42" t="s">
        <v>49</v>
      </c>
      <c r="C31" s="44">
        <v>16</v>
      </c>
      <c r="D31" s="43">
        <f t="shared" si="1"/>
        <v>885.17221392500733</v>
      </c>
      <c r="E31" s="18"/>
      <c r="F31" s="18"/>
      <c r="G31" s="18"/>
    </row>
  </sheetData>
  <mergeCells count="7">
    <mergeCell ref="B24:B25"/>
    <mergeCell ref="E24:E25"/>
    <mergeCell ref="F24:G25"/>
    <mergeCell ref="B3:G3"/>
    <mergeCell ref="B21:B22"/>
    <mergeCell ref="E21:E22"/>
    <mergeCell ref="F21:G22"/>
  </mergeCells>
  <hyperlinks>
    <hyperlink ref="I1" location="'Main Screen'!A1" display="&lt; Back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F1" sqref="F1"/>
    </sheetView>
  </sheetViews>
  <sheetFormatPr defaultRowHeight="15"/>
  <cols>
    <col min="1" max="1" width="3.140625" bestFit="1" customWidth="1"/>
    <col min="2" max="2" width="26.7109375" bestFit="1" customWidth="1"/>
    <col min="3" max="3" width="4" bestFit="1" customWidth="1"/>
    <col min="4" max="4" width="25.140625" bestFit="1" customWidth="1"/>
    <col min="5" max="5" width="6.140625" bestFit="1" customWidth="1"/>
    <col min="6" max="6" width="22" bestFit="1" customWidth="1"/>
  </cols>
  <sheetData>
    <row r="1" spans="1:6" ht="15.75">
      <c r="A1" s="130" t="s">
        <v>120</v>
      </c>
      <c r="B1" s="131" t="s">
        <v>121</v>
      </c>
      <c r="C1" s="131"/>
      <c r="D1" s="131"/>
      <c r="E1" s="124"/>
      <c r="F1" s="17" t="s">
        <v>2</v>
      </c>
    </row>
    <row r="3" spans="1:6">
      <c r="A3" s="124"/>
      <c r="B3" s="127"/>
      <c r="C3" s="127"/>
      <c r="D3" s="127"/>
      <c r="E3" s="127"/>
      <c r="F3" s="124"/>
    </row>
    <row r="4" spans="1:6">
      <c r="A4" s="124"/>
      <c r="B4" s="125" t="s">
        <v>91</v>
      </c>
      <c r="C4" s="125" t="s">
        <v>122</v>
      </c>
      <c r="D4" s="125" t="s">
        <v>123</v>
      </c>
      <c r="E4" s="125" t="s">
        <v>124</v>
      </c>
      <c r="F4" s="125" t="s">
        <v>121</v>
      </c>
    </row>
    <row r="5" spans="1:6">
      <c r="A5" s="124"/>
      <c r="B5" s="126" t="s">
        <v>94</v>
      </c>
      <c r="C5" s="126">
        <v>1</v>
      </c>
      <c r="D5" s="129">
        <v>834.59151479079458</v>
      </c>
      <c r="E5" s="128">
        <v>0.80919540229885056</v>
      </c>
      <c r="F5" s="128">
        <f>D5*E5</f>
        <v>675.34761656634407</v>
      </c>
    </row>
    <row r="6" spans="1:6">
      <c r="A6" s="124"/>
      <c r="B6" s="126" t="s">
        <v>95</v>
      </c>
      <c r="C6" s="126">
        <v>2</v>
      </c>
      <c r="D6" s="129">
        <v>851.45174783553216</v>
      </c>
      <c r="E6" s="128">
        <v>1.1218390804597702</v>
      </c>
      <c r="F6" s="128">
        <f t="shared" ref="F6:F8" si="0">D6*E6</f>
        <v>955.19184584767754</v>
      </c>
    </row>
    <row r="7" spans="1:6">
      <c r="A7" s="124"/>
      <c r="B7" s="126" t="s">
        <v>96</v>
      </c>
      <c r="C7" s="126">
        <v>3</v>
      </c>
      <c r="D7" s="129">
        <v>868.31198088026974</v>
      </c>
      <c r="E7" s="132">
        <v>1.2505747126436781</v>
      </c>
      <c r="F7" s="128">
        <f t="shared" si="0"/>
        <v>1085.8890059744062</v>
      </c>
    </row>
    <row r="8" spans="1:6">
      <c r="A8" s="124"/>
      <c r="B8" s="126" t="s">
        <v>97</v>
      </c>
      <c r="C8" s="126">
        <v>4</v>
      </c>
      <c r="D8" s="129">
        <v>885.17221392500733</v>
      </c>
      <c r="E8" s="128">
        <v>0.81839080459770119</v>
      </c>
      <c r="F8" s="128">
        <f t="shared" si="0"/>
        <v>724.41680036161529</v>
      </c>
    </row>
  </sheetData>
  <hyperlinks>
    <hyperlink ref="F1" location="'Main Screen'!A1" display="&lt; Back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E1" sqref="E1"/>
    </sheetView>
  </sheetViews>
  <sheetFormatPr defaultRowHeight="15"/>
  <cols>
    <col min="1" max="1" width="3.140625" bestFit="1" customWidth="1"/>
    <col min="2" max="2" width="13.5703125" bestFit="1" customWidth="1"/>
    <col min="3" max="3" width="7.85546875" bestFit="1" customWidth="1"/>
    <col min="4" max="4" width="11.42578125" bestFit="1" customWidth="1"/>
    <col min="5" max="5" width="24.28515625" bestFit="1" customWidth="1"/>
    <col min="6" max="6" width="10.28515625" bestFit="1" customWidth="1"/>
  </cols>
  <sheetData>
    <row r="1" spans="1:6" ht="15.75">
      <c r="A1" s="100" t="s">
        <v>87</v>
      </c>
      <c r="B1" s="101" t="s">
        <v>88</v>
      </c>
      <c r="C1" s="101"/>
      <c r="D1" s="101"/>
      <c r="E1" s="96"/>
      <c r="F1" s="17" t="s">
        <v>2</v>
      </c>
    </row>
    <row r="2" spans="1:6">
      <c r="A2" s="96"/>
      <c r="B2" s="96"/>
      <c r="C2" s="96"/>
      <c r="D2" s="104" t="s">
        <v>89</v>
      </c>
      <c r="E2" s="99" t="s">
        <v>90</v>
      </c>
      <c r="F2" s="96"/>
    </row>
    <row r="3" spans="1:6">
      <c r="A3" s="96"/>
      <c r="B3" s="97" t="s">
        <v>4</v>
      </c>
      <c r="C3" s="97" t="s">
        <v>91</v>
      </c>
      <c r="D3" s="97" t="s">
        <v>92</v>
      </c>
      <c r="E3" s="97" t="s">
        <v>93</v>
      </c>
      <c r="F3" s="96"/>
    </row>
    <row r="4" spans="1:6">
      <c r="A4" s="96"/>
      <c r="B4" s="98">
        <v>1</v>
      </c>
      <c r="C4" s="98" t="s">
        <v>94</v>
      </c>
      <c r="D4" s="98">
        <v>8</v>
      </c>
      <c r="E4" s="98">
        <v>150</v>
      </c>
      <c r="F4" s="96"/>
    </row>
    <row r="5" spans="1:6">
      <c r="A5" s="96"/>
      <c r="B5" s="98"/>
      <c r="C5" s="98" t="s">
        <v>95</v>
      </c>
      <c r="D5" s="98">
        <v>10</v>
      </c>
      <c r="E5" s="98">
        <v>170</v>
      </c>
      <c r="F5" s="96"/>
    </row>
    <row r="6" spans="1:6">
      <c r="A6" s="96"/>
      <c r="B6" s="98"/>
      <c r="C6" s="98" t="s">
        <v>96</v>
      </c>
      <c r="D6" s="98">
        <v>15</v>
      </c>
      <c r="E6" s="98">
        <v>190</v>
      </c>
      <c r="F6" s="96"/>
    </row>
    <row r="7" spans="1:6" ht="15.75" thickBot="1">
      <c r="A7" s="96"/>
      <c r="B7" s="103"/>
      <c r="C7" s="103" t="s">
        <v>97</v>
      </c>
      <c r="D7" s="103">
        <v>9</v>
      </c>
      <c r="E7" s="103">
        <v>170</v>
      </c>
      <c r="F7" s="96"/>
    </row>
    <row r="8" spans="1:6">
      <c r="A8" s="96"/>
      <c r="B8" s="102">
        <v>2</v>
      </c>
      <c r="C8" s="102" t="s">
        <v>94</v>
      </c>
      <c r="D8" s="102">
        <v>12</v>
      </c>
      <c r="E8" s="102">
        <v>180</v>
      </c>
      <c r="F8" s="96"/>
    </row>
    <row r="9" spans="1:6">
      <c r="A9" s="96"/>
      <c r="B9" s="98"/>
      <c r="C9" s="98" t="s">
        <v>95</v>
      </c>
      <c r="D9" s="98">
        <v>13</v>
      </c>
      <c r="E9" s="98">
        <v>190</v>
      </c>
      <c r="F9" s="96"/>
    </row>
    <row r="10" spans="1:6">
      <c r="A10" s="96"/>
      <c r="B10" s="98"/>
      <c r="C10" s="98" t="s">
        <v>96</v>
      </c>
      <c r="D10" s="98">
        <v>12</v>
      </c>
      <c r="E10" s="98">
        <v>200</v>
      </c>
      <c r="F10" s="96"/>
    </row>
    <row r="11" spans="1:6">
      <c r="A11" s="96"/>
      <c r="B11" s="98"/>
      <c r="C11" s="98" t="s">
        <v>97</v>
      </c>
      <c r="D11" s="98">
        <v>16</v>
      </c>
      <c r="E11" s="98">
        <v>220</v>
      </c>
      <c r="F11" s="96"/>
    </row>
  </sheetData>
  <hyperlinks>
    <hyperlink ref="F1" location="'Main Screen'!A1" display="&lt; Back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>
      <selection activeCell="H1" sqref="H1"/>
    </sheetView>
  </sheetViews>
  <sheetFormatPr defaultRowHeight="15"/>
  <cols>
    <col min="1" max="1" width="3.140625" bestFit="1" customWidth="1"/>
    <col min="2" max="2" width="27.5703125" customWidth="1"/>
    <col min="4" max="4" width="6.5703125" bestFit="1" customWidth="1"/>
    <col min="5" max="5" width="7.42578125" customWidth="1"/>
    <col min="6" max="6" width="8.7109375" bestFit="1" customWidth="1"/>
    <col min="7" max="7" width="6" bestFit="1" customWidth="1"/>
    <col min="8" max="8" width="10.28515625" customWidth="1"/>
  </cols>
  <sheetData>
    <row r="1" spans="1:8" ht="15.75">
      <c r="A1" s="66" t="s">
        <v>73</v>
      </c>
      <c r="B1" s="67" t="s">
        <v>74</v>
      </c>
      <c r="C1" s="67"/>
      <c r="D1" s="67"/>
      <c r="E1" s="62"/>
      <c r="F1" s="62"/>
      <c r="G1" s="62"/>
      <c r="H1" s="17" t="s">
        <v>2</v>
      </c>
    </row>
    <row r="3" spans="1:8">
      <c r="A3" s="62"/>
      <c r="B3" s="162" t="s">
        <v>3</v>
      </c>
      <c r="C3" s="162"/>
      <c r="D3" s="162"/>
      <c r="E3" s="162"/>
      <c r="F3" s="162"/>
      <c r="G3" s="162"/>
      <c r="H3" s="62"/>
    </row>
    <row r="4" spans="1:8">
      <c r="A4" s="62"/>
      <c r="B4" s="63" t="s">
        <v>21</v>
      </c>
      <c r="C4" s="63" t="s">
        <v>22</v>
      </c>
      <c r="D4" s="63" t="s">
        <v>23</v>
      </c>
      <c r="E4" s="63" t="s">
        <v>24</v>
      </c>
      <c r="F4" s="63" t="s">
        <v>25</v>
      </c>
      <c r="G4" s="63" t="s">
        <v>26</v>
      </c>
      <c r="H4" s="62"/>
    </row>
    <row r="5" spans="1:8">
      <c r="A5" s="62"/>
      <c r="B5" s="64">
        <v>1</v>
      </c>
      <c r="C5" s="64">
        <v>150</v>
      </c>
      <c r="D5" s="86">
        <v>8</v>
      </c>
      <c r="E5" s="64"/>
      <c r="F5" s="64"/>
      <c r="G5" s="86">
        <v>1200</v>
      </c>
      <c r="H5" s="62"/>
    </row>
    <row r="6" spans="1:8">
      <c r="A6" s="62"/>
      <c r="B6" s="64">
        <v>2</v>
      </c>
      <c r="C6" s="64">
        <v>170</v>
      </c>
      <c r="D6" s="86">
        <v>10</v>
      </c>
      <c r="E6" s="64"/>
      <c r="F6" s="64"/>
      <c r="G6" s="86">
        <v>1700</v>
      </c>
      <c r="H6" s="62"/>
    </row>
    <row r="7" spans="1:8">
      <c r="A7" s="62"/>
      <c r="B7" s="64">
        <v>3</v>
      </c>
      <c r="C7" s="64">
        <v>190</v>
      </c>
      <c r="D7" s="86">
        <v>15</v>
      </c>
      <c r="E7" s="65"/>
      <c r="F7" s="65"/>
      <c r="G7" s="86">
        <v>2850</v>
      </c>
      <c r="H7" s="62"/>
    </row>
    <row r="8" spans="1:8">
      <c r="A8" s="62"/>
      <c r="B8" s="64">
        <v>4</v>
      </c>
      <c r="C8" s="64">
        <v>170</v>
      </c>
      <c r="D8" s="86">
        <v>9</v>
      </c>
      <c r="E8" s="65"/>
      <c r="F8" s="65"/>
      <c r="G8" s="86">
        <v>1530</v>
      </c>
      <c r="H8" s="62"/>
    </row>
    <row r="9" spans="1:8">
      <c r="A9" s="62"/>
      <c r="B9" s="64">
        <v>5</v>
      </c>
      <c r="C9" s="64">
        <v>180</v>
      </c>
      <c r="D9" s="85">
        <v>12</v>
      </c>
      <c r="E9" s="65"/>
      <c r="F9" s="65"/>
      <c r="G9" s="86">
        <v>2160</v>
      </c>
      <c r="H9" s="62"/>
    </row>
    <row r="10" spans="1:8">
      <c r="A10" s="62"/>
      <c r="B10" s="64">
        <v>6</v>
      </c>
      <c r="C10" s="64">
        <v>190</v>
      </c>
      <c r="D10" s="85">
        <v>13</v>
      </c>
      <c r="E10" s="65"/>
      <c r="F10" s="65"/>
      <c r="G10" s="86">
        <v>2470</v>
      </c>
      <c r="H10" s="62"/>
    </row>
    <row r="11" spans="1:8">
      <c r="A11" s="62"/>
      <c r="B11" s="64">
        <v>7</v>
      </c>
      <c r="C11" s="64">
        <v>200</v>
      </c>
      <c r="D11" s="85">
        <v>12</v>
      </c>
      <c r="E11" s="65"/>
      <c r="F11" s="65"/>
      <c r="G11" s="86">
        <v>2400</v>
      </c>
      <c r="H11" s="62"/>
    </row>
    <row r="12" spans="1:8" ht="15.75" thickBot="1">
      <c r="A12" s="62"/>
      <c r="B12" s="71">
        <v>8</v>
      </c>
      <c r="C12" s="85">
        <v>220</v>
      </c>
      <c r="D12" s="85">
        <v>16</v>
      </c>
      <c r="E12" s="65"/>
      <c r="F12" s="65"/>
      <c r="G12" s="86">
        <v>3520</v>
      </c>
      <c r="H12" s="62"/>
    </row>
    <row r="13" spans="1:8" ht="15.75" thickBot="1">
      <c r="A13" s="62"/>
      <c r="B13" s="68" t="s">
        <v>9</v>
      </c>
      <c r="C13" s="69">
        <f>SUM(C5:C12)</f>
        <v>1470</v>
      </c>
      <c r="D13" s="69">
        <f>SUM(D5:D12)</f>
        <v>95</v>
      </c>
      <c r="E13" s="87">
        <f>SUMSQ(D5:D12)</f>
        <v>1183</v>
      </c>
      <c r="F13" s="87">
        <f>SUMSQ(C5:C12)</f>
        <v>273300</v>
      </c>
      <c r="G13" s="88">
        <f>SUM(G5:G12)</f>
        <v>17830</v>
      </c>
      <c r="H13" s="62"/>
    </row>
    <row r="14" spans="1:8">
      <c r="A14" s="62"/>
      <c r="B14" s="62"/>
      <c r="C14" s="70" t="s">
        <v>39</v>
      </c>
      <c r="D14" s="70" t="s">
        <v>39</v>
      </c>
      <c r="E14" s="70" t="s">
        <v>39</v>
      </c>
      <c r="F14" s="70" t="s">
        <v>39</v>
      </c>
      <c r="G14" s="70" t="s">
        <v>39</v>
      </c>
      <c r="H14" s="62"/>
    </row>
    <row r="17" spans="2:8" ht="15.75" thickBot="1">
      <c r="B17" s="163" t="s">
        <v>40</v>
      </c>
      <c r="C17" s="72" t="s">
        <v>41</v>
      </c>
      <c r="D17" s="72" t="s">
        <v>42</v>
      </c>
      <c r="E17" s="165" t="s">
        <v>43</v>
      </c>
      <c r="F17" s="167">
        <f>((F13*D13)-(C13*G13))/((B12*F13)-(C13^2))</f>
        <v>-9.670588235294117</v>
      </c>
      <c r="G17" s="168"/>
      <c r="H17" s="62"/>
    </row>
    <row r="18" spans="2:8">
      <c r="B18" s="164"/>
      <c r="C18" s="73" t="s">
        <v>44</v>
      </c>
      <c r="D18" s="74" t="s">
        <v>45</v>
      </c>
      <c r="E18" s="166"/>
      <c r="F18" s="169"/>
      <c r="G18" s="170"/>
      <c r="H18" s="62"/>
    </row>
    <row r="19" spans="2:8">
      <c r="B19" s="75"/>
      <c r="C19" s="76"/>
      <c r="D19" s="76"/>
      <c r="E19" s="76"/>
      <c r="F19" s="76"/>
      <c r="G19" s="77"/>
      <c r="H19" s="62"/>
    </row>
    <row r="20" spans="2:8" ht="15.75" thickBot="1">
      <c r="B20" s="164" t="s">
        <v>46</v>
      </c>
      <c r="C20" s="78" t="s">
        <v>47</v>
      </c>
      <c r="D20" s="79" t="s">
        <v>48</v>
      </c>
      <c r="E20" s="166" t="s">
        <v>43</v>
      </c>
      <c r="F20" s="167">
        <f>((B12*G13)-(C13*D13))/((B12*F13)-(C13^2))</f>
        <v>0.11725490196078431</v>
      </c>
      <c r="G20" s="168"/>
      <c r="H20" s="62"/>
    </row>
    <row r="21" spans="2:8">
      <c r="B21" s="171"/>
      <c r="C21" s="80" t="s">
        <v>44</v>
      </c>
      <c r="D21" s="81" t="s">
        <v>45</v>
      </c>
      <c r="E21" s="172"/>
      <c r="F21" s="173"/>
      <c r="G21" s="174"/>
      <c r="H21" s="62"/>
    </row>
    <row r="24" spans="2:8">
      <c r="B24" s="82" t="s">
        <v>49</v>
      </c>
      <c r="C24" s="84">
        <v>260</v>
      </c>
      <c r="D24" s="83">
        <f>$F$17+($F$20*C24)</f>
        <v>20.815686274509801</v>
      </c>
      <c r="E24" s="62" t="s">
        <v>75</v>
      </c>
      <c r="F24" s="62"/>
      <c r="G24" s="62"/>
      <c r="H24" s="62"/>
    </row>
    <row r="25" spans="2:8">
      <c r="B25" s="82" t="s">
        <v>49</v>
      </c>
      <c r="C25" s="84">
        <v>290</v>
      </c>
      <c r="D25" s="83">
        <f t="shared" ref="D25:D27" si="0">$F$17+($F$20*C25)</f>
        <v>24.333333333333329</v>
      </c>
      <c r="E25" s="62" t="s">
        <v>76</v>
      </c>
      <c r="F25" s="62"/>
      <c r="G25" s="62"/>
      <c r="H25" s="62"/>
    </row>
    <row r="26" spans="2:8">
      <c r="B26" s="82" t="s">
        <v>49</v>
      </c>
      <c r="C26" s="84">
        <v>300</v>
      </c>
      <c r="D26" s="83">
        <f t="shared" si="0"/>
        <v>25.505882352941171</v>
      </c>
      <c r="E26" s="62" t="s">
        <v>77</v>
      </c>
      <c r="F26" s="62"/>
      <c r="G26" s="62"/>
      <c r="H26" s="62"/>
    </row>
    <row r="27" spans="2:8">
      <c r="B27" s="82" t="s">
        <v>49</v>
      </c>
      <c r="C27" s="84">
        <v>270</v>
      </c>
      <c r="D27" s="83">
        <f t="shared" si="0"/>
        <v>21.988235294117644</v>
      </c>
      <c r="E27" s="62" t="s">
        <v>78</v>
      </c>
      <c r="F27" s="62"/>
      <c r="G27" s="62"/>
      <c r="H27" s="62"/>
    </row>
    <row r="29" spans="2:8" ht="15.75" thickBot="1">
      <c r="B29" s="62"/>
      <c r="C29" s="62"/>
      <c r="D29" s="62"/>
      <c r="E29" s="62"/>
      <c r="F29" s="62"/>
      <c r="G29" s="62"/>
      <c r="H29" s="62"/>
    </row>
    <row r="30" spans="2:8">
      <c r="B30" s="91"/>
      <c r="C30" s="92"/>
      <c r="D30" s="92"/>
      <c r="E30" s="92"/>
      <c r="F30" s="92"/>
      <c r="G30" s="92"/>
      <c r="H30" s="159">
        <f>((B12*G13)-(C13*D13))/(SQRT((((B12*F13)-(C13^2))*((B12*E13)-(D13^2)))))</f>
        <v>0.89365283610968915</v>
      </c>
    </row>
    <row r="31" spans="2:8" ht="15.75" thickBot="1">
      <c r="B31" s="155" t="s">
        <v>79</v>
      </c>
      <c r="C31" s="90"/>
      <c r="D31" s="78" t="s">
        <v>47</v>
      </c>
      <c r="E31" s="79" t="s">
        <v>48</v>
      </c>
      <c r="F31" s="90"/>
      <c r="G31" s="166" t="s">
        <v>80</v>
      </c>
      <c r="H31" s="160"/>
    </row>
    <row r="32" spans="2:8" ht="18">
      <c r="B32" s="155"/>
      <c r="C32" s="89" t="s">
        <v>81</v>
      </c>
      <c r="D32" s="74" t="s">
        <v>82</v>
      </c>
      <c r="E32" s="73" t="s">
        <v>83</v>
      </c>
      <c r="F32" s="74" t="s">
        <v>84</v>
      </c>
      <c r="G32" s="166"/>
      <c r="H32" s="160"/>
    </row>
    <row r="33" spans="2:10" ht="15.75" thickBot="1">
      <c r="B33" s="93"/>
      <c r="C33" s="94"/>
      <c r="D33" s="90"/>
      <c r="E33" s="90"/>
      <c r="F33" s="90"/>
      <c r="G33" s="90"/>
      <c r="H33" s="161"/>
    </row>
    <row r="35" spans="2:10" ht="15.75" thickBot="1">
      <c r="B35" s="62"/>
      <c r="C35" s="62"/>
      <c r="D35" s="62"/>
      <c r="E35" s="62"/>
      <c r="F35" s="62"/>
      <c r="G35" s="62"/>
      <c r="H35" s="95"/>
    </row>
    <row r="36" spans="2:10">
      <c r="B36" s="91"/>
      <c r="C36" s="152" t="e">
        <f>SUMSQ(#REF!)</f>
        <v>#REF!</v>
      </c>
      <c r="D36" s="156" t="e">
        <f>+C36</f>
        <v>#REF!</v>
      </c>
      <c r="E36" s="62"/>
      <c r="F36" s="62"/>
      <c r="G36" s="62"/>
      <c r="H36" s="62"/>
    </row>
    <row r="37" spans="2:10">
      <c r="B37" s="155" t="s">
        <v>85</v>
      </c>
      <c r="C37" s="153"/>
      <c r="D37" s="157"/>
      <c r="E37" s="62"/>
      <c r="F37" s="62"/>
      <c r="G37" s="62"/>
      <c r="H37" s="62"/>
    </row>
    <row r="38" spans="2:10">
      <c r="B38" s="155"/>
      <c r="C38" s="153"/>
      <c r="D38" s="157"/>
      <c r="E38" s="62"/>
      <c r="F38" s="62"/>
      <c r="G38" s="62"/>
      <c r="H38" s="62"/>
    </row>
    <row r="39" spans="2:10" ht="15.75" thickBot="1">
      <c r="B39" s="93"/>
      <c r="C39" s="154"/>
      <c r="D39" s="158"/>
      <c r="E39" s="62"/>
      <c r="F39" s="62"/>
      <c r="G39" s="62"/>
      <c r="H39" s="62"/>
      <c r="J39" s="133"/>
    </row>
    <row r="42" spans="2:10">
      <c r="B42" s="62" t="s">
        <v>86</v>
      </c>
      <c r="C42" s="62"/>
      <c r="D42" s="62"/>
      <c r="E42" s="62"/>
      <c r="F42" s="62"/>
      <c r="G42" s="62"/>
      <c r="H42" s="62"/>
    </row>
  </sheetData>
  <mergeCells count="13">
    <mergeCell ref="C36:C39"/>
    <mergeCell ref="B37:B38"/>
    <mergeCell ref="D36:D39"/>
    <mergeCell ref="H30:H33"/>
    <mergeCell ref="B3:G3"/>
    <mergeCell ref="B17:B18"/>
    <mergeCell ref="E17:E18"/>
    <mergeCell ref="F17:G18"/>
    <mergeCell ref="B20:B21"/>
    <mergeCell ref="E20:E21"/>
    <mergeCell ref="F20:G21"/>
    <mergeCell ref="B31:B32"/>
    <mergeCell ref="G31:G32"/>
  </mergeCells>
  <hyperlinks>
    <hyperlink ref="H1" location="'Main Screen'!A1" display="&lt; Back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F1" sqref="F1"/>
    </sheetView>
  </sheetViews>
  <sheetFormatPr defaultRowHeight="15"/>
  <cols>
    <col min="2" max="2" width="24.28515625" customWidth="1"/>
    <col min="3" max="3" width="27.5703125" bestFit="1" customWidth="1"/>
    <col min="4" max="4" width="7.42578125" bestFit="1" customWidth="1"/>
  </cols>
  <sheetData>
    <row r="1" spans="1:5" ht="15.75">
      <c r="A1" s="50" t="s">
        <v>50</v>
      </c>
      <c r="B1" s="51" t="s">
        <v>51</v>
      </c>
      <c r="C1" s="51"/>
      <c r="D1" s="45"/>
      <c r="E1" s="17" t="s">
        <v>2</v>
      </c>
    </row>
    <row r="3" spans="1:5">
      <c r="A3" s="45"/>
      <c r="B3" s="175"/>
      <c r="C3" s="175"/>
      <c r="D3" s="175"/>
      <c r="E3" s="45"/>
    </row>
    <row r="4" spans="1:5">
      <c r="A4" s="45"/>
      <c r="B4" s="47" t="s">
        <v>21</v>
      </c>
      <c r="C4" s="47" t="s">
        <v>52</v>
      </c>
      <c r="D4" s="47" t="s">
        <v>53</v>
      </c>
      <c r="E4" s="45"/>
    </row>
    <row r="5" spans="1:5">
      <c r="A5" s="45"/>
      <c r="B5" s="48" t="s">
        <v>54</v>
      </c>
      <c r="C5" s="48">
        <v>85</v>
      </c>
      <c r="D5" s="49">
        <v>0.2</v>
      </c>
      <c r="E5" s="45"/>
    </row>
    <row r="6" spans="1:5">
      <c r="A6" s="45"/>
      <c r="B6" s="48" t="s">
        <v>55</v>
      </c>
      <c r="C6" s="48">
        <v>102</v>
      </c>
      <c r="D6" s="49">
        <v>0.3</v>
      </c>
      <c r="E6" s="45"/>
    </row>
    <row r="7" spans="1:5">
      <c r="A7" s="45"/>
      <c r="B7" s="48" t="s">
        <v>56</v>
      </c>
      <c r="C7" s="48">
        <v>110</v>
      </c>
      <c r="D7" s="49">
        <v>0.5</v>
      </c>
      <c r="E7" s="45"/>
    </row>
    <row r="8" spans="1:5">
      <c r="A8" s="45"/>
      <c r="B8" s="52" t="s">
        <v>57</v>
      </c>
      <c r="C8" s="52">
        <f>C5*D5+C6*D6+C7*D7</f>
        <v>102.6</v>
      </c>
      <c r="D8" s="53"/>
      <c r="E8" s="45"/>
    </row>
    <row r="11" spans="1:5" ht="15.75">
      <c r="A11" s="45"/>
      <c r="B11" s="45" t="s">
        <v>58</v>
      </c>
      <c r="C11" s="46" t="s">
        <v>59</v>
      </c>
      <c r="D11" s="45"/>
      <c r="E11" s="45"/>
    </row>
  </sheetData>
  <mergeCells count="1">
    <mergeCell ref="B3:D3"/>
  </mergeCells>
  <hyperlinks>
    <hyperlink ref="E1" location="'Main Screen'!A1" display="&lt; Back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activeCell="C22" sqref="C22"/>
    </sheetView>
  </sheetViews>
  <sheetFormatPr defaultRowHeight="15"/>
  <cols>
    <col min="1" max="1" width="3.140625" bestFit="1" customWidth="1"/>
    <col min="2" max="2" width="42.5703125" bestFit="1" customWidth="1"/>
    <col min="3" max="3" width="11.42578125" bestFit="1" customWidth="1"/>
    <col min="4" max="6" width="13.5703125" bestFit="1" customWidth="1"/>
  </cols>
  <sheetData>
    <row r="1" spans="1:6" ht="15.75">
      <c r="A1" s="59" t="s">
        <v>60</v>
      </c>
      <c r="B1" s="60" t="s">
        <v>61</v>
      </c>
      <c r="C1" s="60"/>
      <c r="D1" s="54"/>
      <c r="E1" s="54"/>
      <c r="F1" s="17" t="s">
        <v>2</v>
      </c>
    </row>
    <row r="3" spans="1:6">
      <c r="A3" s="54"/>
      <c r="B3" s="57"/>
      <c r="C3" s="57"/>
      <c r="D3" s="178" t="s">
        <v>62</v>
      </c>
      <c r="E3" s="179"/>
      <c r="F3" s="180"/>
    </row>
    <row r="4" spans="1:6">
      <c r="A4" s="54"/>
      <c r="B4" s="55" t="s">
        <v>21</v>
      </c>
      <c r="C4" s="55" t="s">
        <v>52</v>
      </c>
      <c r="D4" s="55" t="s">
        <v>63</v>
      </c>
      <c r="E4" s="55" t="s">
        <v>64</v>
      </c>
      <c r="F4" s="55" t="s">
        <v>65</v>
      </c>
    </row>
    <row r="5" spans="1:6">
      <c r="A5" s="54"/>
      <c r="B5" s="56">
        <v>1</v>
      </c>
      <c r="C5" s="56">
        <v>100</v>
      </c>
      <c r="D5" s="58"/>
      <c r="E5" s="58"/>
      <c r="F5" s="58"/>
    </row>
    <row r="6" spans="1:6">
      <c r="A6" s="54"/>
      <c r="B6" s="56">
        <v>2</v>
      </c>
      <c r="C6" s="56">
        <v>125</v>
      </c>
      <c r="D6" s="58"/>
      <c r="E6" s="58"/>
      <c r="F6" s="58"/>
    </row>
    <row r="7" spans="1:6">
      <c r="A7" s="54"/>
      <c r="B7" s="56">
        <v>3</v>
      </c>
      <c r="C7" s="56">
        <v>90</v>
      </c>
      <c r="D7" s="58"/>
      <c r="E7" s="58"/>
      <c r="F7" s="58"/>
    </row>
    <row r="8" spans="1:6">
      <c r="A8" s="54"/>
      <c r="B8" s="56">
        <v>4</v>
      </c>
      <c r="C8" s="56">
        <v>110</v>
      </c>
      <c r="D8" s="58"/>
      <c r="E8" s="58"/>
      <c r="F8" s="58"/>
    </row>
    <row r="9" spans="1:6">
      <c r="A9" s="54"/>
      <c r="B9" s="56">
        <v>5</v>
      </c>
      <c r="C9" s="56">
        <v>105</v>
      </c>
      <c r="D9" s="58"/>
      <c r="E9" s="58"/>
      <c r="F9" s="58"/>
    </row>
    <row r="10" spans="1:6">
      <c r="A10" s="54"/>
      <c r="B10" s="56">
        <v>6</v>
      </c>
      <c r="C10" s="56">
        <v>130</v>
      </c>
      <c r="D10" s="58"/>
      <c r="E10" s="58"/>
      <c r="F10" s="58"/>
    </row>
    <row r="11" spans="1:6">
      <c r="A11" s="54"/>
      <c r="B11" s="56">
        <v>7</v>
      </c>
      <c r="C11" s="56">
        <v>85</v>
      </c>
      <c r="D11" s="58"/>
      <c r="E11" s="58"/>
      <c r="F11" s="58"/>
    </row>
    <row r="12" spans="1:6">
      <c r="A12" s="54"/>
      <c r="B12" s="56">
        <v>8</v>
      </c>
      <c r="C12" s="56">
        <v>102</v>
      </c>
      <c r="D12" s="58">
        <f>(C9+C10+C11)/3</f>
        <v>106.66666666666667</v>
      </c>
      <c r="E12" s="58">
        <f>SUM(C7:C11)/5</f>
        <v>104</v>
      </c>
      <c r="F12" s="58">
        <f>SUM(C5:C11)/7</f>
        <v>106.42857142857143</v>
      </c>
    </row>
    <row r="13" spans="1:6">
      <c r="A13" s="54"/>
      <c r="B13" s="56">
        <v>9</v>
      </c>
      <c r="C13" s="56">
        <v>110</v>
      </c>
      <c r="D13" s="58">
        <f t="shared" ref="D13:D21" si="0">(C10+C11+C12)/3</f>
        <v>105.66666666666667</v>
      </c>
      <c r="E13" s="58">
        <f t="shared" ref="E13:E21" si="1">SUM(C8:C12)/5</f>
        <v>106.4</v>
      </c>
      <c r="F13" s="58">
        <f t="shared" ref="F13:F21" si="2">SUM(C6:C12)/7</f>
        <v>106.71428571428571</v>
      </c>
    </row>
    <row r="14" spans="1:6">
      <c r="A14" s="54"/>
      <c r="B14" s="56">
        <v>10</v>
      </c>
      <c r="C14" s="56">
        <v>90</v>
      </c>
      <c r="D14" s="58">
        <f t="shared" si="0"/>
        <v>99</v>
      </c>
      <c r="E14" s="58">
        <f t="shared" si="1"/>
        <v>106.4</v>
      </c>
      <c r="F14" s="58">
        <f t="shared" si="2"/>
        <v>104.57142857142857</v>
      </c>
    </row>
    <row r="15" spans="1:6">
      <c r="A15" s="54"/>
      <c r="B15" s="56">
        <v>11</v>
      </c>
      <c r="C15" s="56">
        <v>105</v>
      </c>
      <c r="D15" s="58">
        <f t="shared" si="0"/>
        <v>100.66666666666667</v>
      </c>
      <c r="E15" s="58">
        <f t="shared" si="1"/>
        <v>103.4</v>
      </c>
      <c r="F15" s="58">
        <f t="shared" si="2"/>
        <v>104.57142857142857</v>
      </c>
    </row>
    <row r="16" spans="1:6">
      <c r="A16" s="54"/>
      <c r="B16" s="56">
        <v>12</v>
      </c>
      <c r="C16" s="56">
        <v>95</v>
      </c>
      <c r="D16" s="58">
        <f t="shared" si="0"/>
        <v>101.66666666666667</v>
      </c>
      <c r="E16" s="58">
        <f t="shared" si="1"/>
        <v>98.4</v>
      </c>
      <c r="F16" s="58">
        <f t="shared" si="2"/>
        <v>103.85714285714286</v>
      </c>
    </row>
    <row r="17" spans="2:6">
      <c r="B17" s="56">
        <v>13</v>
      </c>
      <c r="C17" s="56">
        <v>115</v>
      </c>
      <c r="D17" s="58">
        <f t="shared" si="0"/>
        <v>96.666666666666671</v>
      </c>
      <c r="E17" s="58">
        <f t="shared" si="1"/>
        <v>100.4</v>
      </c>
      <c r="F17" s="58">
        <f t="shared" si="2"/>
        <v>102.42857142857143</v>
      </c>
    </row>
    <row r="18" spans="2:6">
      <c r="B18" s="56">
        <v>14</v>
      </c>
      <c r="C18" s="56">
        <v>120</v>
      </c>
      <c r="D18" s="58">
        <f t="shared" si="0"/>
        <v>105</v>
      </c>
      <c r="E18" s="58">
        <f t="shared" si="1"/>
        <v>103</v>
      </c>
      <c r="F18" s="58">
        <f t="shared" si="2"/>
        <v>100.28571428571429</v>
      </c>
    </row>
    <row r="19" spans="2:6">
      <c r="B19" s="56">
        <v>15</v>
      </c>
      <c r="C19" s="56">
        <v>80</v>
      </c>
      <c r="D19" s="58">
        <f t="shared" si="0"/>
        <v>110</v>
      </c>
      <c r="E19" s="58">
        <f t="shared" si="1"/>
        <v>105</v>
      </c>
      <c r="F19" s="58">
        <f t="shared" si="2"/>
        <v>105.28571428571429</v>
      </c>
    </row>
    <row r="20" spans="2:6">
      <c r="B20" s="56">
        <v>16</v>
      </c>
      <c r="C20" s="56">
        <v>95</v>
      </c>
      <c r="D20" s="58">
        <f t="shared" si="0"/>
        <v>105</v>
      </c>
      <c r="E20" s="58">
        <f t="shared" si="1"/>
        <v>103</v>
      </c>
      <c r="F20" s="58">
        <f t="shared" si="2"/>
        <v>102.14285714285714</v>
      </c>
    </row>
    <row r="21" spans="2:6">
      <c r="B21" s="56">
        <v>17</v>
      </c>
      <c r="C21" s="56">
        <v>100</v>
      </c>
      <c r="D21" s="58">
        <f t="shared" si="0"/>
        <v>98.333333333333329</v>
      </c>
      <c r="E21" s="58">
        <f t="shared" si="1"/>
        <v>101</v>
      </c>
      <c r="F21" s="58">
        <f t="shared" si="2"/>
        <v>100</v>
      </c>
    </row>
    <row r="24" spans="2:6">
      <c r="B24" s="54" t="s">
        <v>66</v>
      </c>
      <c r="C24" s="54"/>
      <c r="D24" s="54"/>
      <c r="E24" s="54"/>
      <c r="F24" s="54"/>
    </row>
    <row r="26" spans="2:6" ht="15.75">
      <c r="B26" s="61" t="s">
        <v>67</v>
      </c>
      <c r="C26" s="176" t="s">
        <v>68</v>
      </c>
      <c r="D26" s="176"/>
      <c r="E26" s="54"/>
      <c r="F26" s="54"/>
    </row>
    <row r="27" spans="2:6" ht="15.75">
      <c r="B27" s="61" t="s">
        <v>69</v>
      </c>
      <c r="C27" s="176" t="s">
        <v>70</v>
      </c>
      <c r="D27" s="177"/>
      <c r="E27" s="54"/>
      <c r="F27" s="54"/>
    </row>
    <row r="28" spans="2:6" ht="15.75">
      <c r="B28" s="61" t="s">
        <v>71</v>
      </c>
      <c r="C28" s="176" t="s">
        <v>72</v>
      </c>
      <c r="D28" s="177"/>
      <c r="E28" s="177"/>
      <c r="F28" s="54"/>
    </row>
  </sheetData>
  <mergeCells count="4">
    <mergeCell ref="C28:E28"/>
    <mergeCell ref="D3:F3"/>
    <mergeCell ref="C26:D26"/>
    <mergeCell ref="C27:D27"/>
  </mergeCells>
  <hyperlinks>
    <hyperlink ref="F1" location="'Main Screen'!A1" display="&lt; Back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cols>
    <col min="4" max="4" width="8.5703125" bestFit="1" customWidth="1"/>
  </cols>
  <sheetData>
    <row r="1" spans="1:6" ht="15.75">
      <c r="A1" s="107" t="s">
        <v>98</v>
      </c>
      <c r="B1" s="108" t="s">
        <v>99</v>
      </c>
      <c r="C1" s="108"/>
      <c r="D1" s="105"/>
      <c r="E1" s="105"/>
      <c r="F1" s="17" t="s">
        <v>2</v>
      </c>
    </row>
    <row r="3" spans="1:6">
      <c r="A3" s="105"/>
      <c r="B3" s="105" t="s">
        <v>100</v>
      </c>
      <c r="C3" s="105"/>
      <c r="D3" s="105"/>
      <c r="E3" s="105"/>
      <c r="F3" s="105"/>
    </row>
    <row r="4" spans="1:6">
      <c r="A4" s="105"/>
      <c r="B4" s="105" t="s">
        <v>101</v>
      </c>
      <c r="C4" s="105"/>
      <c r="D4" s="105"/>
      <c r="E4" s="105"/>
      <c r="F4" s="105"/>
    </row>
    <row r="5" spans="1:6">
      <c r="A5" s="105"/>
      <c r="B5" s="105" t="s">
        <v>102</v>
      </c>
      <c r="C5" s="105"/>
      <c r="D5" s="105"/>
      <c r="E5" s="105"/>
      <c r="F5" s="105"/>
    </row>
    <row r="6" spans="1:6">
      <c r="A6" s="105"/>
      <c r="B6" s="105" t="s">
        <v>103</v>
      </c>
      <c r="C6" s="105"/>
      <c r="D6" s="105"/>
      <c r="E6" s="105"/>
      <c r="F6" s="105"/>
    </row>
    <row r="7" spans="1:6">
      <c r="A7" s="105"/>
      <c r="B7" s="105"/>
      <c r="C7" s="105"/>
      <c r="D7" s="105"/>
      <c r="E7" s="111" t="s">
        <v>104</v>
      </c>
      <c r="F7" s="105"/>
    </row>
    <row r="8" spans="1:6" ht="18">
      <c r="A8" s="105"/>
      <c r="B8" s="182" t="s">
        <v>105</v>
      </c>
      <c r="C8" s="181" t="s">
        <v>106</v>
      </c>
      <c r="D8" s="109">
        <v>1</v>
      </c>
      <c r="E8" s="184" t="s">
        <v>39</v>
      </c>
      <c r="F8" s="181" t="s">
        <v>107</v>
      </c>
    </row>
    <row r="9" spans="1:6" ht="18.75">
      <c r="A9" s="105"/>
      <c r="B9" s="182"/>
      <c r="C9" s="181"/>
      <c r="D9" s="112" t="s">
        <v>108</v>
      </c>
      <c r="E9" s="184"/>
      <c r="F9" s="181"/>
    </row>
    <row r="10" spans="1:6">
      <c r="A10" s="105"/>
      <c r="B10" s="105"/>
      <c r="C10" s="105"/>
      <c r="D10" s="105"/>
      <c r="E10" s="111" t="s">
        <v>109</v>
      </c>
      <c r="F10" s="105"/>
    </row>
    <row r="13" spans="1:6">
      <c r="A13" s="105"/>
      <c r="B13" s="182" t="s">
        <v>99</v>
      </c>
      <c r="C13" s="181" t="s">
        <v>110</v>
      </c>
      <c r="D13" s="183" t="s">
        <v>111</v>
      </c>
      <c r="E13" s="105"/>
      <c r="F13" s="105"/>
    </row>
    <row r="14" spans="1:6">
      <c r="A14" s="105"/>
      <c r="B14" s="182"/>
      <c r="C14" s="181"/>
      <c r="D14" s="183"/>
      <c r="E14" s="105"/>
      <c r="F14" s="105"/>
    </row>
    <row r="19" spans="2:10" ht="20.25">
      <c r="B19" s="105" t="s">
        <v>112</v>
      </c>
      <c r="C19" s="117" t="s">
        <v>113</v>
      </c>
      <c r="D19" s="115" t="s">
        <v>114</v>
      </c>
      <c r="E19" s="115" t="s">
        <v>115</v>
      </c>
      <c r="F19" s="105"/>
      <c r="G19" s="113" t="s">
        <v>116</v>
      </c>
      <c r="H19" s="113" t="s">
        <v>117</v>
      </c>
      <c r="I19" s="105"/>
      <c r="J19" s="114">
        <f>AVERAGE(C20:C24)</f>
        <v>3.8</v>
      </c>
    </row>
    <row r="20" spans="2:10">
      <c r="B20" s="105"/>
      <c r="C20" s="118">
        <v>5</v>
      </c>
      <c r="D20" s="116">
        <f>C20-$J$19</f>
        <v>1.2000000000000002</v>
      </c>
      <c r="E20" s="116">
        <f>(C20-$J$19)^2</f>
        <v>1.4400000000000004</v>
      </c>
      <c r="F20" s="105"/>
      <c r="G20" s="105"/>
      <c r="H20" s="105"/>
      <c r="I20" s="105"/>
      <c r="J20" s="105"/>
    </row>
    <row r="21" spans="2:10">
      <c r="B21" s="105"/>
      <c r="C21" s="118">
        <v>7</v>
      </c>
      <c r="D21" s="116">
        <f t="shared" ref="D21:D24" si="0">C21-$J$19</f>
        <v>3.2</v>
      </c>
      <c r="E21" s="116">
        <f t="shared" ref="E21:E24" si="1">(C21-$J$19)^2</f>
        <v>10.240000000000002</v>
      </c>
      <c r="F21" s="105"/>
      <c r="G21" s="105"/>
      <c r="H21" s="105"/>
      <c r="I21" s="105"/>
      <c r="J21" s="105"/>
    </row>
    <row r="22" spans="2:10">
      <c r="B22" s="105"/>
      <c r="C22" s="118">
        <v>1</v>
      </c>
      <c r="D22" s="116">
        <f t="shared" si="0"/>
        <v>-2.8</v>
      </c>
      <c r="E22" s="116">
        <f t="shared" si="1"/>
        <v>7.839999999999999</v>
      </c>
      <c r="F22" s="105"/>
      <c r="G22" s="105"/>
      <c r="H22" s="105"/>
      <c r="I22" s="105"/>
      <c r="J22" s="105"/>
    </row>
    <row r="23" spans="2:10">
      <c r="B23" s="105"/>
      <c r="C23" s="118">
        <v>2</v>
      </c>
      <c r="D23" s="116">
        <f t="shared" si="0"/>
        <v>-1.7999999999999998</v>
      </c>
      <c r="E23" s="116">
        <f t="shared" si="1"/>
        <v>3.2399999999999993</v>
      </c>
      <c r="F23" s="105"/>
      <c r="G23" s="105"/>
      <c r="H23" s="105"/>
      <c r="I23" s="105"/>
      <c r="J23" s="105"/>
    </row>
    <row r="24" spans="2:10" ht="15.75" thickBot="1">
      <c r="B24" s="105"/>
      <c r="C24" s="119">
        <v>4</v>
      </c>
      <c r="D24" s="116">
        <f t="shared" si="0"/>
        <v>0.20000000000000018</v>
      </c>
      <c r="E24" s="116">
        <f t="shared" si="1"/>
        <v>4.000000000000007E-2</v>
      </c>
      <c r="F24" s="105"/>
      <c r="G24" s="105"/>
      <c r="H24" s="105"/>
      <c r="I24" s="105"/>
      <c r="J24" s="105"/>
    </row>
    <row r="25" spans="2:10" ht="16.5" thickBot="1">
      <c r="B25" s="105"/>
      <c r="C25" s="120"/>
      <c r="D25" s="122" t="s">
        <v>39</v>
      </c>
      <c r="E25" s="121">
        <f>SUM(E20:E24)</f>
        <v>22.8</v>
      </c>
      <c r="F25" s="105"/>
      <c r="G25" s="105"/>
      <c r="H25" s="105"/>
      <c r="I25" s="105"/>
      <c r="J25" s="105"/>
    </row>
    <row r="26" spans="2:10" ht="30">
      <c r="B26" s="105"/>
      <c r="C26" s="105"/>
      <c r="D26" s="110"/>
      <c r="E26" s="105"/>
      <c r="F26" s="105"/>
      <c r="G26" s="105"/>
      <c r="H26" s="105"/>
      <c r="I26" s="105"/>
      <c r="J26" s="105"/>
    </row>
    <row r="27" spans="2:10" ht="15.75" thickBot="1">
      <c r="B27" s="105"/>
      <c r="C27" s="181" t="s">
        <v>106</v>
      </c>
      <c r="D27" s="123">
        <v>22.8</v>
      </c>
      <c r="E27" s="185" t="s">
        <v>118</v>
      </c>
      <c r="F27" s="186">
        <f>$E$25/4</f>
        <v>5.7</v>
      </c>
      <c r="G27" s="105"/>
      <c r="H27" s="105"/>
      <c r="I27" s="105"/>
      <c r="J27" s="105"/>
    </row>
    <row r="28" spans="2:10">
      <c r="B28" s="105"/>
      <c r="C28" s="181"/>
      <c r="D28" s="106">
        <v>4</v>
      </c>
      <c r="E28" s="181"/>
      <c r="F28" s="186"/>
      <c r="G28" s="105"/>
      <c r="H28" s="105"/>
      <c r="I28" s="105"/>
      <c r="J28" s="105"/>
    </row>
    <row r="30" spans="2:10">
      <c r="B30" s="105"/>
      <c r="C30" s="181" t="s">
        <v>110</v>
      </c>
      <c r="D30" s="183" t="s">
        <v>119</v>
      </c>
      <c r="E30" s="185" t="s">
        <v>118</v>
      </c>
      <c r="F30" s="186">
        <f>SQRT(F27)</f>
        <v>2.3874672772626644</v>
      </c>
      <c r="G30" s="105"/>
      <c r="H30" s="105"/>
      <c r="I30" s="105"/>
      <c r="J30" s="105"/>
    </row>
    <row r="31" spans="2:10">
      <c r="B31" s="105"/>
      <c r="C31" s="181"/>
      <c r="D31" s="183"/>
      <c r="E31" s="181"/>
      <c r="F31" s="186"/>
      <c r="G31" s="105"/>
      <c r="H31" s="105"/>
      <c r="I31" s="105"/>
      <c r="J31" s="105"/>
    </row>
  </sheetData>
  <mergeCells count="14">
    <mergeCell ref="C27:C28"/>
    <mergeCell ref="E27:E28"/>
    <mergeCell ref="F27:F28"/>
    <mergeCell ref="C30:C31"/>
    <mergeCell ref="D30:D31"/>
    <mergeCell ref="E30:E31"/>
    <mergeCell ref="F30:F31"/>
    <mergeCell ref="F8:F9"/>
    <mergeCell ref="C8:C9"/>
    <mergeCell ref="B8:B9"/>
    <mergeCell ref="B13:B14"/>
    <mergeCell ref="C13:C14"/>
    <mergeCell ref="D13:D14"/>
    <mergeCell ref="E8:E9"/>
  </mergeCells>
  <hyperlinks>
    <hyperlink ref="F1" location="'Main Screen'!A1" display="&lt; Back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Screen</vt:lpstr>
      <vt:lpstr>Deseasonalize</vt:lpstr>
      <vt:lpstr>Regression Analysis</vt:lpstr>
      <vt:lpstr>Seasonalize Forecast</vt:lpstr>
      <vt:lpstr>Correlation</vt:lpstr>
      <vt:lpstr>Correlation Regression Analysis</vt:lpstr>
      <vt:lpstr>Weighted Moving Average</vt:lpstr>
      <vt:lpstr> Moving Average</vt:lpstr>
      <vt:lpstr>Standard Deviation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</dc:creator>
  <cp:lastModifiedBy>Aravind</cp:lastModifiedBy>
  <dcterms:created xsi:type="dcterms:W3CDTF">2010-09-09T05:31:13Z</dcterms:created>
  <dcterms:modified xsi:type="dcterms:W3CDTF">2011-05-02T04:54:15Z</dcterms:modified>
</cp:coreProperties>
</file>